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lliny-my.sharepoint.com/personal/peter_ellicorp_com/Documents/Documents/Downloads/"/>
    </mc:Choice>
  </mc:AlternateContent>
  <xr:revisionPtr revIDLastSave="0" documentId="8_{B6205B11-C92D-4642-84B8-B78471D6F7C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REQ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1" l="1" a="1"/>
  <c r="D131" i="1" s="1"/>
  <c r="D126" i="1" a="1"/>
  <c r="D126" i="1" s="1"/>
  <c r="B126" i="1" a="1"/>
  <c r="B126" i="1" s="1"/>
  <c r="G80" i="1" a="1"/>
  <c r="G80" i="1" s="1"/>
  <c r="E80" i="1" a="1"/>
  <c r="E80" i="1" s="1"/>
  <c r="H79" i="1" a="1"/>
  <c r="H79" i="1" s="1"/>
  <c r="H78" i="1" a="1"/>
  <c r="H78" i="1" s="1"/>
  <c r="H77" i="1" a="1"/>
  <c r="H77" i="1" s="1"/>
  <c r="H76" i="1" a="1"/>
  <c r="H76" i="1" s="1"/>
  <c r="H75" i="1" a="1"/>
  <c r="H75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5" i="1" a="1"/>
  <c r="H45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8" i="1" a="1"/>
  <c r="H38" i="1" s="1"/>
  <c r="H37" i="1" a="1"/>
  <c r="H37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O31" i="1" a="1"/>
  <c r="O31" i="1" s="1"/>
  <c r="N31" i="1" a="1"/>
  <c r="N31" i="1" s="1"/>
  <c r="N32" i="1" s="1" a="1"/>
  <c r="N32" i="1" s="1"/>
  <c r="V17" i="1" s="1" a="1"/>
  <c r="V17" i="1" s="1"/>
  <c r="H31" i="1" a="1"/>
  <c r="H31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5" i="1" a="1"/>
  <c r="H25" i="1" s="1"/>
  <c r="H24" i="1" a="1"/>
  <c r="H24" i="1" s="1"/>
  <c r="H23" i="1" a="1"/>
  <c r="H23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G14" i="1" a="1"/>
  <c r="G14" i="1" s="1"/>
  <c r="E14" i="1" a="1"/>
  <c r="E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J27" i="1" l="1" a="1"/>
  <c r="J27" i="1" s="1"/>
  <c r="I27" i="1" a="1"/>
  <c r="I27" i="1" s="1"/>
  <c r="J61" i="1" a="1"/>
  <c r="J61" i="1" s="1"/>
  <c r="I61" i="1" a="1"/>
  <c r="I61" i="1" s="1"/>
  <c r="H80" i="1" a="1"/>
  <c r="H80" i="1" s="1"/>
  <c r="F80" i="1" s="1" a="1"/>
  <c r="F80" i="1" s="1"/>
  <c r="I16" i="1" a="1"/>
  <c r="I16" i="1" s="1"/>
  <c r="J16" i="1" a="1"/>
  <c r="J16" i="1" s="1"/>
  <c r="I50" i="1" a="1"/>
  <c r="I50" i="1" s="1"/>
  <c r="J50" i="1" a="1"/>
  <c r="J50" i="1" s="1"/>
  <c r="J39" i="1" a="1"/>
  <c r="J39" i="1" s="1"/>
  <c r="I39" i="1" a="1"/>
  <c r="I39" i="1" s="1"/>
  <c r="J75" i="1" a="1"/>
  <c r="J75" i="1" s="1"/>
  <c r="I75" i="1" a="1"/>
  <c r="I75" i="1" s="1"/>
  <c r="I40" i="1" a="1"/>
  <c r="I40" i="1" s="1"/>
  <c r="J40" i="1" a="1"/>
  <c r="J40" i="1" s="1"/>
  <c r="I64" i="1" a="1"/>
  <c r="I64" i="1" s="1"/>
  <c r="J64" i="1" a="1"/>
  <c r="J64" i="1" s="1"/>
  <c r="I19" i="1" a="1"/>
  <c r="I19" i="1" s="1"/>
  <c r="J19" i="1" a="1"/>
  <c r="J19" i="1" s="1"/>
  <c r="J31" i="1" a="1"/>
  <c r="J31" i="1" s="1"/>
  <c r="I31" i="1" a="1"/>
  <c r="I31" i="1" s="1"/>
  <c r="J53" i="1" a="1"/>
  <c r="J53" i="1" s="1"/>
  <c r="I53" i="1" a="1"/>
  <c r="I53" i="1" s="1"/>
  <c r="J20" i="1" a="1"/>
  <c r="J20" i="1" s="1"/>
  <c r="I20" i="1" a="1"/>
  <c r="I20" i="1" s="1"/>
  <c r="J37" i="1" a="1"/>
  <c r="J37" i="1" s="1"/>
  <c r="I37" i="1" a="1"/>
  <c r="I37" i="1" s="1"/>
  <c r="J49" i="1" a="1"/>
  <c r="J49" i="1" s="1"/>
  <c r="I49" i="1" a="1"/>
  <c r="I49" i="1" s="1"/>
  <c r="I38" i="1" a="1"/>
  <c r="I38" i="1" s="1"/>
  <c r="J38" i="1" a="1"/>
  <c r="J38" i="1" s="1"/>
  <c r="I74" i="1" a="1"/>
  <c r="I74" i="1" s="1"/>
  <c r="J74" i="1" a="1"/>
  <c r="J74" i="1" s="1"/>
  <c r="J29" i="1" a="1"/>
  <c r="J29" i="1" s="1"/>
  <c r="I29" i="1" a="1"/>
  <c r="I29" i="1" s="1"/>
  <c r="J63" i="1" a="1"/>
  <c r="J63" i="1" s="1"/>
  <c r="I63" i="1" a="1"/>
  <c r="I63" i="1" s="1"/>
  <c r="J30" i="1" a="1"/>
  <c r="J30" i="1" s="1"/>
  <c r="I30" i="1" a="1"/>
  <c r="I30" i="1" s="1"/>
  <c r="J65" i="1" a="1"/>
  <c r="J65" i="1" s="1"/>
  <c r="I65" i="1" a="1"/>
  <c r="I65" i="1" s="1"/>
  <c r="J73" i="1" a="1"/>
  <c r="J73" i="1" s="1"/>
  <c r="I73" i="1" a="1"/>
  <c r="I73" i="1" s="1"/>
  <c r="I28" i="1" a="1"/>
  <c r="I28" i="1" s="1"/>
  <c r="J28" i="1" a="1"/>
  <c r="J28" i="1" s="1"/>
  <c r="I62" i="1" a="1"/>
  <c r="I62" i="1" s="1"/>
  <c r="J62" i="1" a="1"/>
  <c r="J62" i="1" s="1"/>
  <c r="J17" i="1" a="1"/>
  <c r="J17" i="1" s="1"/>
  <c r="I17" i="1" a="1"/>
  <c r="I17" i="1" s="1"/>
  <c r="J51" i="1" a="1"/>
  <c r="J51" i="1" s="1"/>
  <c r="I51" i="1" a="1"/>
  <c r="I51" i="1" s="1"/>
  <c r="I18" i="1" a="1"/>
  <c r="I18" i="1" s="1"/>
  <c r="J18" i="1" a="1"/>
  <c r="J18" i="1" s="1"/>
  <c r="I52" i="1" a="1"/>
  <c r="I52" i="1" s="1"/>
  <c r="J52" i="1" a="1"/>
  <c r="J52" i="1" s="1"/>
  <c r="I76" i="1" a="1"/>
  <c r="I76" i="1" s="1"/>
  <c r="J76" i="1" a="1"/>
  <c r="J76" i="1" s="1"/>
  <c r="J41" i="1" a="1"/>
  <c r="J41" i="1" s="1"/>
  <c r="I41" i="1" a="1"/>
  <c r="I41" i="1" s="1"/>
  <c r="J77" i="1" a="1"/>
  <c r="J77" i="1" s="1"/>
  <c r="I77" i="1" a="1"/>
  <c r="I77" i="1" s="1"/>
  <c r="I42" i="1" a="1"/>
  <c r="I42" i="1" s="1"/>
  <c r="J42" i="1" a="1"/>
  <c r="J42" i="1" s="1"/>
  <c r="I54" i="1" a="1"/>
  <c r="I54" i="1" s="1"/>
  <c r="J54" i="1" a="1"/>
  <c r="J54" i="1" s="1"/>
  <c r="I66" i="1" a="1"/>
  <c r="I66" i="1" s="1"/>
  <c r="J66" i="1" a="1"/>
  <c r="J66" i="1" s="1"/>
  <c r="I78" i="1" a="1"/>
  <c r="I78" i="1" s="1"/>
  <c r="J78" i="1" a="1"/>
  <c r="J78" i="1" s="1"/>
  <c r="J9" i="1" a="1"/>
  <c r="J9" i="1" s="1"/>
  <c r="H14" i="1" a="1"/>
  <c r="H14" i="1" s="1"/>
  <c r="I9" i="1" a="1"/>
  <c r="I9" i="1" s="1"/>
  <c r="J21" i="1" a="1"/>
  <c r="J21" i="1" s="1"/>
  <c r="I21" i="1" a="1"/>
  <c r="I21" i="1" s="1"/>
  <c r="J43" i="1" a="1"/>
  <c r="J43" i="1" s="1"/>
  <c r="I43" i="1" a="1"/>
  <c r="I43" i="1" s="1"/>
  <c r="J55" i="1" a="1"/>
  <c r="J55" i="1" s="1"/>
  <c r="I55" i="1" a="1"/>
  <c r="I55" i="1" s="1"/>
  <c r="J67" i="1" a="1"/>
  <c r="J67" i="1" s="1"/>
  <c r="I67" i="1" a="1"/>
  <c r="I67" i="1" s="1"/>
  <c r="J79" i="1" a="1"/>
  <c r="J79" i="1" s="1"/>
  <c r="I79" i="1" a="1"/>
  <c r="I79" i="1" s="1"/>
  <c r="I10" i="1" a="1"/>
  <c r="I10" i="1" s="1"/>
  <c r="J10" i="1" a="1"/>
  <c r="J10" i="1" s="1"/>
  <c r="J22" i="1" a="1"/>
  <c r="J22" i="1" s="1"/>
  <c r="I22" i="1" a="1"/>
  <c r="I22" i="1" s="1"/>
  <c r="J32" i="1" a="1"/>
  <c r="J32" i="1" s="1"/>
  <c r="I32" i="1" a="1"/>
  <c r="I32" i="1" s="1"/>
  <c r="I44" i="1" a="1"/>
  <c r="I44" i="1" s="1"/>
  <c r="J44" i="1" a="1"/>
  <c r="J44" i="1" s="1"/>
  <c r="I56" i="1" a="1"/>
  <c r="I56" i="1" s="1"/>
  <c r="J56" i="1" a="1"/>
  <c r="J56" i="1" s="1"/>
  <c r="I68" i="1" a="1"/>
  <c r="I68" i="1" s="1"/>
  <c r="J68" i="1" a="1"/>
  <c r="J68" i="1" s="1"/>
  <c r="J11" i="1" a="1"/>
  <c r="J11" i="1" s="1"/>
  <c r="I11" i="1" a="1"/>
  <c r="I11" i="1" s="1"/>
  <c r="J23" i="1" a="1"/>
  <c r="J23" i="1" s="1"/>
  <c r="I23" i="1" a="1"/>
  <c r="I23" i="1" s="1"/>
  <c r="J33" i="1" a="1"/>
  <c r="J33" i="1" s="1"/>
  <c r="I33" i="1" a="1"/>
  <c r="I33" i="1" s="1"/>
  <c r="J45" i="1" a="1"/>
  <c r="J45" i="1" s="1"/>
  <c r="I45" i="1" a="1"/>
  <c r="I45" i="1" s="1"/>
  <c r="J57" i="1" a="1"/>
  <c r="J57" i="1" s="1"/>
  <c r="I57" i="1" a="1"/>
  <c r="I57" i="1" s="1"/>
  <c r="J69" i="1" a="1"/>
  <c r="J69" i="1" s="1"/>
  <c r="I69" i="1" a="1"/>
  <c r="I69" i="1" s="1"/>
  <c r="G83" i="1" a="1"/>
  <c r="G83" i="1" s="1"/>
  <c r="I12" i="1" a="1"/>
  <c r="I12" i="1" s="1"/>
  <c r="J12" i="1" a="1"/>
  <c r="J12" i="1" s="1"/>
  <c r="J24" i="1" a="1"/>
  <c r="J24" i="1" s="1"/>
  <c r="I24" i="1" a="1"/>
  <c r="I24" i="1" s="1"/>
  <c r="I34" i="1" a="1"/>
  <c r="I34" i="1" s="1"/>
  <c r="J34" i="1" a="1"/>
  <c r="J34" i="1" s="1"/>
  <c r="I46" i="1" a="1"/>
  <c r="I46" i="1" s="1"/>
  <c r="J46" i="1" a="1"/>
  <c r="J46" i="1" s="1"/>
  <c r="I58" i="1" a="1"/>
  <c r="I58" i="1" s="1"/>
  <c r="J58" i="1" a="1"/>
  <c r="J58" i="1" s="1"/>
  <c r="I70" i="1" a="1"/>
  <c r="I70" i="1" s="1"/>
  <c r="J70" i="1" a="1"/>
  <c r="J70" i="1" s="1"/>
  <c r="J13" i="1" a="1"/>
  <c r="J13" i="1" s="1"/>
  <c r="I13" i="1" a="1"/>
  <c r="I13" i="1" s="1"/>
  <c r="I25" i="1" a="1"/>
  <c r="I25" i="1" s="1"/>
  <c r="J25" i="1" a="1"/>
  <c r="J25" i="1" s="1"/>
  <c r="J35" i="1" a="1"/>
  <c r="J35" i="1" s="1"/>
  <c r="I35" i="1" a="1"/>
  <c r="I35" i="1" s="1"/>
  <c r="J47" i="1" a="1"/>
  <c r="J47" i="1" s="1"/>
  <c r="I47" i="1" a="1"/>
  <c r="I47" i="1" s="1"/>
  <c r="J59" i="1" a="1"/>
  <c r="J59" i="1" s="1"/>
  <c r="I59" i="1" a="1"/>
  <c r="I59" i="1" s="1"/>
  <c r="J71" i="1" a="1"/>
  <c r="J71" i="1" s="1"/>
  <c r="I71" i="1" a="1"/>
  <c r="I71" i="1" s="1"/>
  <c r="E83" i="1" a="1"/>
  <c r="E83" i="1" s="1"/>
  <c r="V15" i="1" s="1" a="1"/>
  <c r="V15" i="1" s="1"/>
  <c r="V18" i="1" s="1" a="1"/>
  <c r="V18" i="1" s="1"/>
  <c r="I26" i="1" a="1"/>
  <c r="I26" i="1" s="1"/>
  <c r="J26" i="1" a="1"/>
  <c r="J26" i="1" s="1"/>
  <c r="I36" i="1" a="1"/>
  <c r="I36" i="1" s="1"/>
  <c r="J36" i="1" a="1"/>
  <c r="J36" i="1" s="1"/>
  <c r="I48" i="1" a="1"/>
  <c r="I48" i="1" s="1"/>
  <c r="J48" i="1" a="1"/>
  <c r="J48" i="1" s="1"/>
  <c r="I60" i="1" a="1"/>
  <c r="I60" i="1" s="1"/>
  <c r="J60" i="1" a="1"/>
  <c r="J60" i="1" s="1"/>
  <c r="I72" i="1" a="1"/>
  <c r="I72" i="1" s="1"/>
  <c r="J72" i="1" a="1"/>
  <c r="J72" i="1" s="1"/>
  <c r="J14" i="1" l="1" a="1"/>
  <c r="J14" i="1" s="1"/>
  <c r="J83" i="1" s="1" a="1"/>
  <c r="J83" i="1" s="1"/>
  <c r="F14" i="1" a="1"/>
  <c r="F14" i="1" s="1"/>
  <c r="H83" i="1" a="1"/>
  <c r="H83" i="1" s="1"/>
  <c r="J80" i="1" a="1"/>
  <c r="J80" i="1" s="1"/>
  <c r="I80" i="1" a="1"/>
  <c r="I80" i="1" s="1"/>
  <c r="I14" i="1" a="1"/>
  <c r="I14" i="1" s="1"/>
  <c r="I83" i="1" s="1" a="1"/>
  <c r="I83" i="1" s="1"/>
  <c r="F83" i="1" l="1" a="1"/>
  <c r="F83" i="1" s="1"/>
  <c r="V19" i="1" a="1"/>
  <c r="V19" i="1" s="1"/>
  <c r="T22" i="1" l="1" a="1"/>
  <c r="T22" i="1" s="1"/>
  <c r="V25" i="1" s="1" a="1"/>
  <c r="V25" i="1" s="1"/>
  <c r="V30" i="1" a="1"/>
  <c r="V30" i="1" s="1"/>
  <c r="V26" i="1" a="1"/>
  <c r="V26" i="1" s="1"/>
  <c r="V31" i="1" s="1" a="1"/>
  <c r="V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<sst xmlns="http://schemas.openxmlformats.org/spreadsheetml/2006/main" count="287" uniqueCount="124">
  <si>
    <t>Elli NY Design Corp.</t>
  </si>
  <si>
    <t>Requisition No.</t>
  </si>
  <si>
    <t>SCA REQUISITION &amp; CERTIFICATE FOR PAYMENT</t>
  </si>
  <si>
    <t>Project:</t>
  </si>
  <si>
    <t xml:space="preserve">489 State Street - School </t>
  </si>
  <si>
    <t>Hunter Roberts Construction Group. LLC</t>
  </si>
  <si>
    <t>TO:</t>
  </si>
  <si>
    <t xml:space="preserve">Hunter Roberts Construction Group, LLC </t>
  </si>
  <si>
    <t xml:space="preserve">PROJECT NAME: 489 State Street School </t>
  </si>
  <si>
    <t>REQUISTION &amp; CERTIFICATE NO:</t>
  </si>
  <si>
    <t>489 State Street Brooklyn NY 11217</t>
  </si>
  <si>
    <t>Contractor:</t>
  </si>
  <si>
    <t xml:space="preserve">55 Water Street, 51st Floor </t>
  </si>
  <si>
    <t>New York, NY 10041</t>
  </si>
  <si>
    <t>AS OF:</t>
  </si>
  <si>
    <t xml:space="preserve">DESCRIPTION </t>
  </si>
  <si>
    <t>TOTAL</t>
  </si>
  <si>
    <t>Percentage</t>
  </si>
  <si>
    <t>Total from</t>
  </si>
  <si>
    <t>Total Completed</t>
  </si>
  <si>
    <t xml:space="preserve">Total </t>
  </si>
  <si>
    <t>Completed</t>
  </si>
  <si>
    <t>Previous</t>
  </si>
  <si>
    <t>To Date</t>
  </si>
  <si>
    <t>Remaining</t>
  </si>
  <si>
    <t>for Period</t>
  </si>
  <si>
    <t>FROM (SUB) CONTRATOR:</t>
  </si>
  <si>
    <t xml:space="preserve">CONTRACT NO: </t>
  </si>
  <si>
    <t>230200-BP09</t>
  </si>
  <si>
    <t>Spec</t>
  </si>
  <si>
    <t>ADDRESS</t>
  </si>
  <si>
    <t>50-01 Metropolitan Ave.</t>
  </si>
  <si>
    <t xml:space="preserve">All </t>
  </si>
  <si>
    <t xml:space="preserve">Shop Drawings </t>
  </si>
  <si>
    <t>Ridgewood, NY 11385</t>
  </si>
  <si>
    <t xml:space="preserve">DATE PREPARED: </t>
  </si>
  <si>
    <t xml:space="preserve">Submittals / Samples </t>
  </si>
  <si>
    <t>CONTRACT FOR (TRADE):</t>
  </si>
  <si>
    <t>Millwork</t>
  </si>
  <si>
    <t>(06410/06200)</t>
  </si>
  <si>
    <t xml:space="preserve">Mock Up Room </t>
  </si>
  <si>
    <t>Application is made for Payment, as shown below, in connection with the Contract.</t>
  </si>
  <si>
    <t xml:space="preserve">Shop Mobilization </t>
  </si>
  <si>
    <t>Trade Payment Breakdown is attached</t>
  </si>
  <si>
    <t xml:space="preserve">Field Mobilization </t>
  </si>
  <si>
    <t>CHANGE ORDER SUMMARY</t>
  </si>
  <si>
    <t>Total For 06200:</t>
  </si>
  <si>
    <t>Change Orders approved in previous months by Owner</t>
  </si>
  <si>
    <t>.</t>
  </si>
  <si>
    <t>1. ORIGINAL CONTRACT SUM…………………………</t>
  </si>
  <si>
    <t xml:space="preserve">Material </t>
  </si>
  <si>
    <t>06200</t>
  </si>
  <si>
    <t xml:space="preserve">Cellar: Stage / Proscenium Wood Panels, Stairs, Trim, Barres  </t>
  </si>
  <si>
    <t>Labor</t>
  </si>
  <si>
    <t>Approved</t>
  </si>
  <si>
    <t>Pending</t>
  </si>
  <si>
    <t>2. Net change by Change Orders (LINE +)   …………………..</t>
  </si>
  <si>
    <t>06410</t>
  </si>
  <si>
    <t xml:space="preserve">Cellar: Lavatory Countertops </t>
  </si>
  <si>
    <t>Approved this Month</t>
  </si>
  <si>
    <t xml:space="preserve">3. CONTRACT SUM TO DATE </t>
  </si>
  <si>
    <t>Number</t>
  </si>
  <si>
    <t>Description</t>
  </si>
  <si>
    <t>4. TOTAL COMPLETED TO DATE ……………………..</t>
  </si>
  <si>
    <t>Cellar: Bench</t>
  </si>
  <si>
    <t>5. RETAINAGE:</t>
  </si>
  <si>
    <t xml:space="preserve">1st Floor: Custom Desks </t>
  </si>
  <si>
    <t xml:space="preserve"> of Completed Work</t>
  </si>
  <si>
    <t xml:space="preserve">1st  Floor: Custom Desks </t>
  </si>
  <si>
    <t>(Column D + E)</t>
  </si>
  <si>
    <t xml:space="preserve">         </t>
  </si>
  <si>
    <t xml:space="preserve">1st Floor: Wood Cabinetry </t>
  </si>
  <si>
    <t>Total Retainage (Line 5a + 5b or</t>
  </si>
  <si>
    <t xml:space="preserve">                 Total in Column 1) ……………………………</t>
  </si>
  <si>
    <t>1st Floor: Countertops</t>
  </si>
  <si>
    <t>6. TOTAL EARNED LESS RETAINAGE ………………….</t>
  </si>
  <si>
    <t>(Line 4 less Line 5 Total)</t>
  </si>
  <si>
    <t xml:space="preserve">2nd Floor: Lavatory Countertops </t>
  </si>
  <si>
    <t>7. TOTAL PREVIOUS CERTIFICATES FOR PAYMENT</t>
  </si>
  <si>
    <t>(Line 6 from prior Requistion)………………</t>
  </si>
  <si>
    <t xml:space="preserve">3rd Floor: Wood Cabinetry </t>
  </si>
  <si>
    <t>8. CURRENT PAYMENT DUE  ………………………………….</t>
  </si>
  <si>
    <t>9. BALANCE TO FINISH, PLUS RETAINAGE …………………</t>
  </si>
  <si>
    <t>3rd Floor: Countertops</t>
  </si>
  <si>
    <t>Net by Change Orders</t>
  </si>
  <si>
    <t xml:space="preserve"> </t>
  </si>
  <si>
    <t>(Line 3 less Line 6)</t>
  </si>
  <si>
    <t>3rd  Floor: Countertops</t>
  </si>
  <si>
    <t>SUB-CONTRACTOR AUTHORIZED OFFICER SIGNATURE:</t>
  </si>
  <si>
    <t>GENERAL CONTRACTOR AUTHORIZED AMOUNT</t>
  </si>
  <si>
    <t>_____________________</t>
  </si>
  <si>
    <t xml:space="preserve">3rd Floor: Closet interiors </t>
  </si>
  <si>
    <t xml:space="preserve">BY:        </t>
  </si>
  <si>
    <t xml:space="preserve">Tomasz Bartosiak </t>
  </si>
  <si>
    <t xml:space="preserve">Senior Project Manager </t>
  </si>
  <si>
    <t>APPROVED BY:         ______________________________________</t>
  </si>
  <si>
    <t>TITLE</t>
  </si>
  <si>
    <t xml:space="preserve">4th Floor: Lavatory Countertops </t>
  </si>
  <si>
    <t xml:space="preserve">4th Floor: Wood Cabinetry </t>
  </si>
  <si>
    <t>4th Floor: Countertops</t>
  </si>
  <si>
    <t xml:space="preserve">4th Floor: Closet interiors </t>
  </si>
  <si>
    <t>4th Floor: Benches</t>
  </si>
  <si>
    <t xml:space="preserve">5th Floor: Lavatory Countertops </t>
  </si>
  <si>
    <t xml:space="preserve">5th Floor: Wood Cabinetry </t>
  </si>
  <si>
    <t>5th Floor: Countertops</t>
  </si>
  <si>
    <t xml:space="preserve">5th Floor: Closet interiors </t>
  </si>
  <si>
    <t>5th Floor: Benches</t>
  </si>
  <si>
    <t xml:space="preserve">6th Floor: Lavatory Countertops </t>
  </si>
  <si>
    <t xml:space="preserve">6th Floor: Wood Cabinetry </t>
  </si>
  <si>
    <t>6th Floor: Countertops</t>
  </si>
  <si>
    <t xml:space="preserve">6th Floor: Closet interiors </t>
  </si>
  <si>
    <t>6th Floor: Benches</t>
  </si>
  <si>
    <t xml:space="preserve">7th Floor: Lavatory Countertops </t>
  </si>
  <si>
    <t xml:space="preserve">7th Floor: Wood Cabinetry </t>
  </si>
  <si>
    <t>7th Floor: Countertops</t>
  </si>
  <si>
    <t xml:space="preserve">7th Floor: Closet interiors </t>
  </si>
  <si>
    <t>7th Floor: Benches</t>
  </si>
  <si>
    <t xml:space="preserve">8th Floor: Lavatory Countertops </t>
  </si>
  <si>
    <t>8th Floor: Benches</t>
  </si>
  <si>
    <t>Total For 06410:</t>
  </si>
  <si>
    <t>Line Totals</t>
  </si>
  <si>
    <t>Contract Value</t>
  </si>
  <si>
    <t>Material</t>
  </si>
  <si>
    <t>#001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</si>
</sst>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&quot;&quot;$&quot;* #,##0.00&quot; &quot;;&quot; &quot;&quot;$&quot;* \(#,##0.00\);&quot; &quot;&quot;$&quot;* &quot;-&quot;??&quot; &quot;"/>
    <numFmt numFmtId="165" formatCode="&quot;$&quot;#,##0.00"/>
    <numFmt numFmtId="166" formatCode="&quot;$&quot;#,##0.00&quot; &quot;;\(&quot;$&quot;#,##0.00\)"/>
  </numFmts>
  <fonts count="14" x14ac:knownFonts="1">
    <font>
      <sz val="10"/>
      <color indexed="8"/>
      <name val="Arial"/>
    </font>
    <font>
      <b/>
      <sz val="13"/>
      <color indexed="8"/>
      <name val="Tahoma"/>
    </font>
    <font>
      <sz val="9"/>
      <color indexed="8"/>
      <name val="Tahoma"/>
    </font>
    <font>
      <b/>
      <sz val="9"/>
      <color indexed="8"/>
      <name val="Tahoma"/>
    </font>
    <font>
      <sz val="8"/>
      <color indexed="8"/>
      <name val="Tahoma"/>
    </font>
    <font>
      <b/>
      <sz val="8"/>
      <color indexed="8"/>
      <name val="Tahoma"/>
    </font>
    <font>
      <sz val="8"/>
      <color indexed="8"/>
      <name val="Arial"/>
    </font>
    <font>
      <u/>
      <sz val="9"/>
      <color indexed="8"/>
      <name val="Tahoma"/>
    </font>
    <font>
      <sz val="14"/>
      <color indexed="8"/>
      <name val="Vladimir Script"/>
    </font>
    <font>
      <b/>
      <sz val="10"/>
      <color indexed="8"/>
      <name val="Tahoma"/>
    </font>
    <font>
      <b/>
      <sz val="8"/>
      <color indexed="11"/>
      <name val="Tahoma"/>
    </font>
    <font>
      <sz val="10"/>
      <color rgb="FFC00000"/>
      <name val="Arial"/>
      <family val="2"/>
    </font>
    <font>
      <b/>
      <sz val="13"/>
      <color rgb="FFC00000"/>
      <name val="Tahoma"/>
      <family val="2"/>
    </font>
    <font>
      <b/>
      <sz val="9"/>
      <color rgb="FFC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48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right"/>
    </xf>
    <xf numFmtId="49" fontId="1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/>
    <xf numFmtId="164" fontId="2" fillId="2" borderId="4" xfId="0" applyNumberFormat="1" applyFont="1" applyFill="1" applyBorder="1"/>
    <xf numFmtId="9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164" fontId="2" fillId="2" borderId="5" xfId="0" applyNumberFormat="1" applyFont="1" applyFill="1" applyBorder="1" applyAlignment="1">
      <alignment horizontal="right"/>
    </xf>
    <xf numFmtId="49" fontId="2" fillId="2" borderId="1" xfId="0" applyNumberFormat="1" applyFont="1" applyFill="1" applyBorder="1"/>
    <xf numFmtId="0" fontId="2" fillId="2" borderId="1" xfId="0" applyFont="1" applyFill="1" applyBorder="1"/>
    <xf numFmtId="49" fontId="3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/>
    <xf numFmtId="164" fontId="2" fillId="2" borderId="3" xfId="0" applyNumberFormat="1" applyFont="1" applyFill="1" applyBorder="1"/>
    <xf numFmtId="9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0" fillId="2" borderId="6" xfId="0" applyFill="1" applyBorder="1"/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0" fontId="0" fillId="2" borderId="9" xfId="0" applyFill="1" applyBorder="1"/>
    <xf numFmtId="0" fontId="2" fillId="2" borderId="1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164" fontId="4" fillId="2" borderId="10" xfId="0" applyNumberFormat="1" applyFont="1" applyFill="1" applyBorder="1"/>
    <xf numFmtId="49" fontId="4" fillId="2" borderId="10" xfId="0" applyNumberFormat="1" applyFont="1" applyFill="1" applyBorder="1" applyAlignment="1">
      <alignment horizontal="center"/>
    </xf>
    <xf numFmtId="49" fontId="3" fillId="2" borderId="2" xfId="0" applyNumberFormat="1" applyFont="1" applyFill="1" applyBorder="1"/>
    <xf numFmtId="0" fontId="2" fillId="2" borderId="11" xfId="0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wrapText="1"/>
    </xf>
    <xf numFmtId="164" fontId="2" fillId="2" borderId="11" xfId="0" applyNumberFormat="1" applyFont="1" applyFill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49" fontId="3" fillId="2" borderId="12" xfId="0" applyNumberFormat="1" applyFont="1" applyFill="1" applyBorder="1"/>
    <xf numFmtId="0" fontId="2" fillId="2" borderId="12" xfId="0" applyFont="1" applyFill="1" applyBorder="1"/>
    <xf numFmtId="49" fontId="4" fillId="2" borderId="11" xfId="0" applyNumberFormat="1" applyFont="1" applyFill="1" applyBorder="1" applyAlignment="1">
      <alignment wrapText="1"/>
    </xf>
    <xf numFmtId="49" fontId="2" fillId="2" borderId="3" xfId="0" applyNumberFormat="1" applyFont="1" applyFill="1" applyBorder="1"/>
    <xf numFmtId="49" fontId="2" fillId="2" borderId="13" xfId="0" applyNumberFormat="1" applyFont="1" applyFill="1" applyBorder="1"/>
    <xf numFmtId="164" fontId="2" fillId="2" borderId="13" xfId="0" applyNumberFormat="1" applyFont="1" applyFill="1" applyBorder="1"/>
    <xf numFmtId="49" fontId="4" fillId="2" borderId="5" xfId="0" applyNumberFormat="1" applyFont="1" applyFill="1" applyBorder="1" applyAlignment="1">
      <alignment horizontal="left"/>
    </xf>
    <xf numFmtId="164" fontId="2" fillId="2" borderId="5" xfId="0" applyNumberFormat="1" applyFont="1" applyFill="1" applyBorder="1"/>
    <xf numFmtId="49" fontId="4" fillId="2" borderId="1" xfId="0" applyNumberFormat="1" applyFont="1" applyFill="1" applyBorder="1"/>
    <xf numFmtId="0" fontId="0" fillId="2" borderId="14" xfId="0" applyFill="1" applyBorder="1"/>
    <xf numFmtId="49" fontId="3" fillId="2" borderId="15" xfId="0" applyNumberFormat="1" applyFont="1" applyFill="1" applyBorder="1"/>
    <xf numFmtId="0" fontId="3" fillId="2" borderId="12" xfId="0" applyFont="1" applyFill="1" applyBorder="1"/>
    <xf numFmtId="0" fontId="3" fillId="2" borderId="16" xfId="0" applyFont="1" applyFill="1" applyBorder="1"/>
    <xf numFmtId="0" fontId="2" fillId="2" borderId="9" xfId="0" applyFont="1" applyFill="1" applyBorder="1"/>
    <xf numFmtId="49" fontId="5" fillId="2" borderId="11" xfId="0" applyNumberFormat="1" applyFont="1" applyFill="1" applyBorder="1" applyAlignment="1">
      <alignment wrapText="1"/>
    </xf>
    <xf numFmtId="164" fontId="3" fillId="2" borderId="11" xfId="0" applyNumberFormat="1" applyFont="1" applyFill="1" applyBorder="1" applyAlignment="1">
      <alignment horizontal="center"/>
    </xf>
    <xf numFmtId="9" fontId="3" fillId="2" borderId="1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wrapText="1"/>
    </xf>
    <xf numFmtId="164" fontId="2" fillId="3" borderId="11" xfId="0" applyNumberFormat="1" applyFont="1" applyFill="1" applyBorder="1" applyAlignment="1">
      <alignment horizontal="center"/>
    </xf>
    <xf numFmtId="9" fontId="2" fillId="3" borderId="11" xfId="0" applyNumberFormat="1" applyFont="1" applyFill="1" applyBorder="1" applyAlignment="1">
      <alignment horizontal="center"/>
    </xf>
    <xf numFmtId="49" fontId="2" fillId="3" borderId="11" xfId="0" applyNumberFormat="1" applyFont="1" applyFill="1" applyBorder="1" applyAlignment="1">
      <alignment horizontal="center"/>
    </xf>
    <xf numFmtId="0" fontId="0" fillId="2" borderId="10" xfId="0" applyFill="1" applyBorder="1"/>
    <xf numFmtId="165" fontId="3" fillId="2" borderId="2" xfId="0" applyNumberFormat="1" applyFont="1" applyFill="1" applyBorder="1" applyAlignment="1">
      <alignment horizontal="right"/>
    </xf>
    <xf numFmtId="0" fontId="2" fillId="2" borderId="19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0" fillId="2" borderId="11" xfId="0" applyFill="1" applyBorder="1"/>
    <xf numFmtId="165" fontId="3" fillId="2" borderId="12" xfId="0" applyNumberFormat="1" applyFont="1" applyFill="1" applyBorder="1" applyAlignment="1">
      <alignment horizontal="right"/>
    </xf>
    <xf numFmtId="0" fontId="2" fillId="2" borderId="15" xfId="0" applyFont="1" applyFill="1" applyBorder="1"/>
    <xf numFmtId="0" fontId="2" fillId="2" borderId="16" xfId="0" applyFont="1" applyFill="1" applyBorder="1"/>
    <xf numFmtId="49" fontId="3" fillId="2" borderId="11" xfId="0" applyNumberFormat="1" applyFont="1" applyFill="1" applyBorder="1" applyAlignment="1">
      <alignment horizontal="center"/>
    </xf>
    <xf numFmtId="49" fontId="2" fillId="2" borderId="15" xfId="0" applyNumberFormat="1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1" xfId="0" applyFont="1" applyFill="1" applyBorder="1" applyAlignment="1">
      <alignment wrapText="1"/>
    </xf>
    <xf numFmtId="164" fontId="2" fillId="2" borderId="11" xfId="0" applyNumberFormat="1" applyFont="1" applyFill="1" applyBorder="1"/>
    <xf numFmtId="165" fontId="3" fillId="2" borderId="4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9" fontId="3" fillId="2" borderId="3" xfId="0" applyNumberFormat="1" applyFont="1" applyFill="1" applyBorder="1"/>
    <xf numFmtId="165" fontId="3" fillId="2" borderId="3" xfId="0" applyNumberFormat="1" applyFont="1" applyFill="1" applyBorder="1" applyAlignment="1">
      <alignment horizontal="right"/>
    </xf>
    <xf numFmtId="49" fontId="2" fillId="2" borderId="5" xfId="0" applyNumberFormat="1" applyFont="1" applyFill="1" applyBorder="1"/>
    <xf numFmtId="0" fontId="2" fillId="2" borderId="22" xfId="0" applyFont="1" applyFill="1" applyBorder="1"/>
    <xf numFmtId="0" fontId="2" fillId="2" borderId="23" xfId="0" applyFont="1" applyFill="1" applyBorder="1"/>
    <xf numFmtId="0" fontId="0" fillId="2" borderId="24" xfId="0" applyFill="1" applyBorder="1"/>
    <xf numFmtId="49" fontId="2" fillId="2" borderId="25" xfId="0" applyNumberFormat="1" applyFont="1" applyFill="1" applyBorder="1"/>
    <xf numFmtId="0" fontId="2" fillId="2" borderId="26" xfId="0" applyFont="1" applyFill="1" applyBorder="1"/>
    <xf numFmtId="49" fontId="2" fillId="2" borderId="27" xfId="0" applyNumberFormat="1" applyFont="1" applyFill="1" applyBorder="1"/>
    <xf numFmtId="49" fontId="8" fillId="2" borderId="2" xfId="0" applyNumberFormat="1" applyFont="1" applyFill="1" applyBorder="1"/>
    <xf numFmtId="49" fontId="2" fillId="2" borderId="2" xfId="0" applyNumberFormat="1" applyFont="1" applyFill="1" applyBorder="1"/>
    <xf numFmtId="0" fontId="2" fillId="2" borderId="28" xfId="0" applyFont="1" applyFill="1" applyBorder="1"/>
    <xf numFmtId="0" fontId="2" fillId="2" borderId="27" xfId="0" applyFont="1" applyFill="1" applyBorder="1"/>
    <xf numFmtId="164" fontId="2" fillId="2" borderId="29" xfId="0" applyNumberFormat="1" applyFont="1" applyFill="1" applyBorder="1"/>
    <xf numFmtId="0" fontId="2" fillId="2" borderId="30" xfId="0" applyFont="1" applyFill="1" applyBorder="1"/>
    <xf numFmtId="0" fontId="2" fillId="2" borderId="13" xfId="0" applyFont="1" applyFill="1" applyBorder="1"/>
    <xf numFmtId="0" fontId="2" fillId="2" borderId="31" xfId="0" applyFont="1" applyFill="1" applyBorder="1"/>
    <xf numFmtId="164" fontId="2" fillId="2" borderId="32" xfId="0" applyNumberFormat="1" applyFont="1" applyFill="1" applyBorder="1"/>
    <xf numFmtId="0" fontId="0" fillId="2" borderId="5" xfId="0" applyFill="1" applyBorder="1"/>
    <xf numFmtId="164" fontId="0" fillId="2" borderId="1" xfId="0" applyNumberFormat="1" applyFill="1" applyBorder="1"/>
    <xf numFmtId="0" fontId="3" fillId="2" borderId="11" xfId="0" applyFont="1" applyFill="1" applyBorder="1" applyAlignment="1">
      <alignment horizontal="center"/>
    </xf>
    <xf numFmtId="49" fontId="3" fillId="2" borderId="11" xfId="0" applyNumberFormat="1" applyFont="1" applyFill="1" applyBorder="1"/>
    <xf numFmtId="164" fontId="3" fillId="2" borderId="11" xfId="0" applyNumberFormat="1" applyFont="1" applyFill="1" applyBorder="1"/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/>
    <xf numFmtId="164" fontId="3" fillId="2" borderId="7" xfId="0" applyNumberFormat="1" applyFont="1" applyFill="1" applyBorder="1" applyAlignment="1">
      <alignment horizontal="center"/>
    </xf>
    <xf numFmtId="9" fontId="3" fillId="2" borderId="7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9" fontId="9" fillId="2" borderId="10" xfId="0" applyNumberFormat="1" applyFont="1" applyFill="1" applyBorder="1" applyAlignment="1">
      <alignment horizontal="right"/>
    </xf>
    <xf numFmtId="164" fontId="9" fillId="2" borderId="10" xfId="0" applyNumberFormat="1" applyFont="1" applyFill="1" applyBorder="1" applyAlignment="1">
      <alignment horizontal="center"/>
    </xf>
    <xf numFmtId="9" fontId="9" fillId="2" borderId="10" xfId="0" applyNumberFormat="1" applyFont="1" applyFill="1" applyBorder="1" applyAlignment="1">
      <alignment horizontal="center"/>
    </xf>
    <xf numFmtId="0" fontId="3" fillId="2" borderId="4" xfId="0" applyFont="1" applyFill="1" applyBorder="1"/>
    <xf numFmtId="164" fontId="3" fillId="2" borderId="4" xfId="0" applyNumberFormat="1" applyFont="1" applyFill="1" applyBorder="1" applyAlignment="1">
      <alignment horizontal="center"/>
    </xf>
    <xf numFmtId="9" fontId="3" fillId="2" borderId="4" xfId="0" applyNumberFormat="1" applyFont="1" applyFill="1" applyBorder="1" applyAlignment="1">
      <alignment horizontal="center"/>
    </xf>
    <xf numFmtId="0" fontId="10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NumberFormat="1" applyFill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49" fontId="5" fillId="2" borderId="21" xfId="0" applyNumberFormat="1" applyFont="1" applyFill="1" applyBorder="1" applyAlignment="1">
      <alignment wrapText="1"/>
    </xf>
    <xf numFmtId="0" fontId="6" fillId="2" borderId="13" xfId="0" applyFont="1" applyFill="1" applyBorder="1" applyAlignment="1">
      <alignment wrapText="1"/>
    </xf>
    <xf numFmtId="49" fontId="2" fillId="2" borderId="17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7" fillId="2" borderId="5" xfId="0" applyNumberFormat="1" applyFont="1" applyFill="1" applyBorder="1" applyAlignment="1">
      <alignment horizontal="left"/>
    </xf>
    <xf numFmtId="166" fontId="7" fillId="2" borderId="26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11" fillId="2" borderId="1" xfId="0" applyFont="1" applyFill="1" applyBorder="1"/>
    <xf numFmtId="49" fontId="12" fillId="2" borderId="2" xfId="0" applyNumberFormat="1" applyFont="1" applyFill="1" applyBorder="1" applyAlignment="1">
      <alignment horizontal="center"/>
    </xf>
    <xf numFmtId="14" fontId="1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C000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32"/>
  <sheetViews>
    <sheetView showGridLines="0" tabSelected="1" workbookViewId="0">
      <selection activeCell="V9" sqref="V9"/>
    </sheetView>
  </sheetViews>
  <sheetFormatPr defaultColWidth="8.81640625" defaultRowHeight="12.75" customHeight="1" x14ac:dyDescent="0.25"/>
  <cols>
    <col min="1" max="1" width="3.1796875" style="1" customWidth="1"/>
    <col min="2" max="2" width="8.36328125" style="1" customWidth="1"/>
    <col min="3" max="3" width="7" style="1" customWidth="1"/>
    <col min="4" max="4" width="42.1796875" style="1" customWidth="1"/>
    <col min="5" max="5" width="17.453125" style="1" customWidth="1"/>
    <col min="6" max="6" width="14.36328125" style="1" customWidth="1"/>
    <col min="7" max="8" width="17.453125" style="1" customWidth="1"/>
    <col min="9" max="9" width="17.81640625" style="1" customWidth="1"/>
    <col min="10" max="10" width="18.36328125" style="1" customWidth="1"/>
    <col min="11" max="12" width="8.81640625" style="1" customWidth="1"/>
    <col min="13" max="13" width="14.1796875" style="1" customWidth="1"/>
    <col min="14" max="14" width="14.453125" style="1" customWidth="1"/>
    <col min="15" max="15" width="14.1796875" style="1" customWidth="1"/>
    <col min="16" max="16" width="11.1796875" style="1" customWidth="1"/>
    <col min="17" max="17" width="8.81640625" style="1" customWidth="1"/>
    <col min="18" max="18" width="11.453125" style="1" customWidth="1"/>
    <col min="19" max="19" width="12.81640625" style="1" customWidth="1"/>
    <col min="20" max="20" width="11.1796875" style="1" customWidth="1"/>
    <col min="21" max="21" width="8.81640625" style="1" customWidth="1"/>
    <col min="22" max="22" width="14.453125" style="1" customWidth="1"/>
    <col min="23" max="23" width="8.81640625" style="1" customWidth="1"/>
    <col min="24" max="16384" width="8.81640625" style="1"/>
  </cols>
  <sheetData>
    <row r="1" spans="1:22" ht="19.5" customHeight="1" x14ac:dyDescent="0.3">
      <c r="A1" s="145"/>
      <c r="B1" s="3" t="s">
        <v>0</v>
      </c>
      <c r="C1" s="4"/>
      <c r="D1" s="4"/>
      <c r="E1" s="5"/>
      <c r="F1" s="4"/>
      <c r="G1" s="4"/>
      <c r="H1" s="4"/>
      <c r="I1" s="6" t="s">
        <v>1</v>
      </c>
      <c r="J1" s="146" t="s">
        <v>123</v>
      </c>
      <c r="K1" s="2"/>
      <c r="L1" s="7" t="s">
        <v>2</v>
      </c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 ht="14.5" customHeight="1" x14ac:dyDescent="0.25">
      <c r="A2" s="2"/>
      <c r="B2" s="10"/>
      <c r="C2" s="10"/>
      <c r="D2" s="10"/>
      <c r="E2" s="11"/>
      <c r="F2" s="12"/>
      <c r="G2" s="12"/>
      <c r="H2" s="12"/>
      <c r="I2" s="13"/>
      <c r="J2" s="10"/>
      <c r="K2" s="2"/>
      <c r="L2" s="14"/>
      <c r="M2" s="14"/>
      <c r="N2" s="14"/>
      <c r="O2" s="14"/>
      <c r="P2" s="14"/>
      <c r="Q2" s="14"/>
      <c r="R2" s="14"/>
      <c r="S2" s="14"/>
      <c r="T2" s="14"/>
      <c r="U2" s="14"/>
      <c r="V2" s="15"/>
    </row>
    <row r="3" spans="1:22" ht="19.149999999999999" customHeight="1" x14ac:dyDescent="0.3">
      <c r="A3" s="2"/>
      <c r="B3" s="16" t="s">
        <v>3</v>
      </c>
      <c r="C3" s="17"/>
      <c r="D3" s="18" t="s">
        <v>4</v>
      </c>
      <c r="E3" s="19"/>
      <c r="F3" s="17"/>
      <c r="G3" s="20"/>
      <c r="H3" s="2"/>
      <c r="I3" s="130" t="s">
        <v>5</v>
      </c>
      <c r="J3" s="131"/>
      <c r="K3" s="2"/>
      <c r="L3" s="16" t="s">
        <v>6</v>
      </c>
      <c r="M3" s="143" t="s">
        <v>7</v>
      </c>
      <c r="N3" s="144"/>
      <c r="O3" s="144"/>
      <c r="P3" s="18" t="s">
        <v>8</v>
      </c>
      <c r="Q3" s="17"/>
      <c r="R3" s="17"/>
      <c r="S3" s="17"/>
      <c r="T3" s="17"/>
      <c r="U3" s="21" t="s">
        <v>9</v>
      </c>
      <c r="V3" s="146" t="s">
        <v>123</v>
      </c>
    </row>
    <row r="4" spans="1:22" ht="14" customHeight="1" x14ac:dyDescent="0.25">
      <c r="A4" s="2"/>
      <c r="B4" s="17"/>
      <c r="C4" s="17"/>
      <c r="D4" s="18" t="s">
        <v>10</v>
      </c>
      <c r="E4" s="19"/>
      <c r="F4" s="23"/>
      <c r="G4" s="23"/>
      <c r="H4" s="21" t="s">
        <v>11</v>
      </c>
      <c r="I4" s="132"/>
      <c r="J4" s="131"/>
      <c r="K4" s="2"/>
      <c r="L4" s="17"/>
      <c r="M4" s="143" t="s">
        <v>12</v>
      </c>
      <c r="N4" s="144"/>
      <c r="O4" s="144"/>
      <c r="P4" s="24"/>
      <c r="Q4" s="24"/>
      <c r="R4" s="17"/>
      <c r="S4" s="17"/>
      <c r="T4" s="17"/>
      <c r="U4" s="17"/>
      <c r="V4" s="25"/>
    </row>
    <row r="5" spans="1:22" ht="13.9" customHeight="1" x14ac:dyDescent="0.25">
      <c r="A5" s="2"/>
      <c r="B5" s="26"/>
      <c r="C5" s="8"/>
      <c r="D5" s="8"/>
      <c r="E5" s="27"/>
      <c r="F5" s="28"/>
      <c r="G5" s="28"/>
      <c r="H5" s="28"/>
      <c r="I5" s="29"/>
      <c r="J5" s="29"/>
      <c r="K5" s="2"/>
      <c r="L5" s="17"/>
      <c r="M5" s="143" t="s">
        <v>13</v>
      </c>
      <c r="N5" s="144"/>
      <c r="O5" s="144"/>
      <c r="P5" s="144"/>
      <c r="Q5" s="144"/>
      <c r="R5" s="17"/>
      <c r="S5" s="17"/>
      <c r="T5" s="17"/>
      <c r="U5" s="21" t="s">
        <v>14</v>
      </c>
      <c r="V5" s="30"/>
    </row>
    <row r="6" spans="1:22" ht="13.9" customHeight="1" x14ac:dyDescent="0.25">
      <c r="A6" s="31"/>
      <c r="B6" s="32"/>
      <c r="C6" s="33"/>
      <c r="D6" s="34" t="s">
        <v>15</v>
      </c>
      <c r="E6" s="34" t="s">
        <v>16</v>
      </c>
      <c r="F6" s="34" t="s">
        <v>17</v>
      </c>
      <c r="G6" s="34" t="s">
        <v>18</v>
      </c>
      <c r="H6" s="34" t="s">
        <v>19</v>
      </c>
      <c r="I6" s="34" t="s">
        <v>20</v>
      </c>
      <c r="J6" s="34" t="s">
        <v>16</v>
      </c>
      <c r="K6" s="35"/>
      <c r="L6" s="17"/>
      <c r="M6" s="17"/>
      <c r="N6" s="17"/>
      <c r="O6" s="17"/>
      <c r="P6" s="17"/>
      <c r="Q6" s="17"/>
      <c r="R6" s="17"/>
      <c r="S6" s="17"/>
      <c r="T6" s="17"/>
      <c r="U6" s="36"/>
      <c r="V6" s="25"/>
    </row>
    <row r="7" spans="1:22" ht="13.9" customHeight="1" x14ac:dyDescent="0.25">
      <c r="A7" s="31"/>
      <c r="B7" s="37"/>
      <c r="C7" s="37"/>
      <c r="D7" s="38"/>
      <c r="E7" s="39"/>
      <c r="F7" s="40" t="s">
        <v>21</v>
      </c>
      <c r="G7" s="40" t="s">
        <v>22</v>
      </c>
      <c r="H7" s="40" t="s">
        <v>23</v>
      </c>
      <c r="I7" s="40" t="s">
        <v>24</v>
      </c>
      <c r="J7" s="40" t="s">
        <v>25</v>
      </c>
      <c r="K7" s="35"/>
      <c r="L7" s="16" t="s">
        <v>26</v>
      </c>
      <c r="M7" s="17"/>
      <c r="N7" s="41" t="s">
        <v>0</v>
      </c>
      <c r="O7" s="26"/>
      <c r="P7" s="17"/>
      <c r="Q7" s="17"/>
      <c r="R7" s="17"/>
      <c r="S7" s="17"/>
      <c r="T7" s="36"/>
      <c r="U7" s="21" t="s">
        <v>27</v>
      </c>
      <c r="V7" s="22" t="s">
        <v>28</v>
      </c>
    </row>
    <row r="8" spans="1:22" ht="15" customHeight="1" x14ac:dyDescent="0.25">
      <c r="A8" s="31"/>
      <c r="B8" s="42"/>
      <c r="C8" s="43" t="s">
        <v>29</v>
      </c>
      <c r="D8" s="44"/>
      <c r="E8" s="45"/>
      <c r="F8" s="46"/>
      <c r="G8" s="45"/>
      <c r="H8" s="45"/>
      <c r="I8" s="45"/>
      <c r="J8" s="45"/>
      <c r="K8" s="35"/>
      <c r="L8" s="16" t="s">
        <v>30</v>
      </c>
      <c r="M8" s="17"/>
      <c r="N8" s="47" t="s">
        <v>31</v>
      </c>
      <c r="O8" s="48"/>
      <c r="P8" s="17"/>
      <c r="Q8" s="17"/>
      <c r="R8" s="17"/>
      <c r="S8" s="17"/>
      <c r="T8" s="17"/>
      <c r="U8" s="17"/>
      <c r="V8" s="25"/>
    </row>
    <row r="9" spans="1:22" ht="15" customHeight="1" x14ac:dyDescent="0.25">
      <c r="A9" s="31"/>
      <c r="B9" s="42"/>
      <c r="C9" s="43" t="s">
        <v>32</v>
      </c>
      <c r="D9" s="49" t="s">
        <v>33</v>
      </c>
      <c r="E9" s="45">
        <v>50000</v>
      </c>
      <c r="F9" s="46">
        <v>0</v>
      </c>
      <c r="G9" s="45">
        <v>0</v>
      </c>
      <c r="H9" s="45" cm="1">
        <f t="array" ref="H9">E9*F9</f>
        <v>0</v>
      </c>
      <c r="I9" s="45" cm="1">
        <f t="array" ref="I9">E9-H9</f>
        <v>50000</v>
      </c>
      <c r="J9" s="45" cm="1">
        <f t="array" ref="J9">H9-G9</f>
        <v>0</v>
      </c>
      <c r="K9" s="35"/>
      <c r="L9" s="17"/>
      <c r="M9" s="17"/>
      <c r="N9" s="47" t="s">
        <v>34</v>
      </c>
      <c r="O9" s="48"/>
      <c r="P9" s="17"/>
      <c r="Q9" s="17"/>
      <c r="R9" s="17"/>
      <c r="S9" s="17"/>
      <c r="T9" s="36"/>
      <c r="U9" s="21" t="s">
        <v>35</v>
      </c>
      <c r="V9" s="147">
        <v>46037</v>
      </c>
    </row>
    <row r="10" spans="1:22" ht="15" customHeight="1" x14ac:dyDescent="0.25">
      <c r="A10" s="31"/>
      <c r="B10" s="42"/>
      <c r="C10" s="43" t="s">
        <v>32</v>
      </c>
      <c r="D10" s="49" t="s">
        <v>36</v>
      </c>
      <c r="E10" s="45">
        <v>26000</v>
      </c>
      <c r="F10" s="46">
        <v>0</v>
      </c>
      <c r="G10" s="45">
        <v>0</v>
      </c>
      <c r="H10" s="45" cm="1">
        <f t="array" ref="H10">E10*F10</f>
        <v>0</v>
      </c>
      <c r="I10" s="45" cm="1">
        <f t="array" ref="I10">E10-H10</f>
        <v>26000</v>
      </c>
      <c r="J10" s="45" cm="1">
        <f t="array" ref="J10">H10-G10</f>
        <v>0</v>
      </c>
      <c r="K10" s="35"/>
      <c r="L10" s="50" t="s">
        <v>37</v>
      </c>
      <c r="M10" s="8"/>
      <c r="N10" s="51" t="s">
        <v>38</v>
      </c>
      <c r="O10" s="51" t="s">
        <v>39</v>
      </c>
      <c r="P10" s="8"/>
      <c r="Q10" s="8"/>
      <c r="R10" s="8"/>
      <c r="S10" s="8"/>
      <c r="T10" s="8"/>
      <c r="U10" s="8"/>
      <c r="V10" s="52"/>
    </row>
    <row r="11" spans="1:22" ht="15" customHeight="1" x14ac:dyDescent="0.25">
      <c r="A11" s="31"/>
      <c r="B11" s="42"/>
      <c r="C11" s="43" t="s">
        <v>32</v>
      </c>
      <c r="D11" s="49" t="s">
        <v>40</v>
      </c>
      <c r="E11" s="45">
        <v>14000</v>
      </c>
      <c r="F11" s="46">
        <v>0</v>
      </c>
      <c r="G11" s="45">
        <v>0</v>
      </c>
      <c r="H11" s="45" cm="1">
        <f t="array" ref="H11">E11*F11</f>
        <v>0</v>
      </c>
      <c r="I11" s="45" cm="1">
        <f t="array" ref="I11">E11-H11</f>
        <v>14000</v>
      </c>
      <c r="J11" s="45" cm="1">
        <f t="array" ref="J11">H11-G11</f>
        <v>0</v>
      </c>
      <c r="K11" s="35"/>
      <c r="L11" s="14"/>
      <c r="M11" s="14"/>
      <c r="N11" s="14"/>
      <c r="O11" s="14"/>
      <c r="P11" s="14"/>
      <c r="Q11" s="53" t="s">
        <v>41</v>
      </c>
      <c r="R11" s="14"/>
      <c r="S11" s="14"/>
      <c r="T11" s="14"/>
      <c r="U11" s="14"/>
      <c r="V11" s="54"/>
    </row>
    <row r="12" spans="1:22" ht="15" customHeight="1" x14ac:dyDescent="0.25">
      <c r="A12" s="31"/>
      <c r="B12" s="42"/>
      <c r="C12" s="43" t="s">
        <v>32</v>
      </c>
      <c r="D12" s="49" t="s">
        <v>42</v>
      </c>
      <c r="E12" s="45">
        <v>18000</v>
      </c>
      <c r="F12" s="46">
        <v>0</v>
      </c>
      <c r="G12" s="45">
        <v>0</v>
      </c>
      <c r="H12" s="45" cm="1">
        <f t="array" ref="H12">E12*F12</f>
        <v>0</v>
      </c>
      <c r="I12" s="45" cm="1">
        <f t="array" ref="I12">E12-H12</f>
        <v>18000</v>
      </c>
      <c r="J12" s="45" cm="1">
        <f t="array" ref="J12">H12-G12</f>
        <v>0</v>
      </c>
      <c r="K12" s="35"/>
      <c r="L12" s="26"/>
      <c r="M12" s="26"/>
      <c r="N12" s="26"/>
      <c r="O12" s="26"/>
      <c r="P12" s="17"/>
      <c r="Q12" s="55" t="s">
        <v>43</v>
      </c>
      <c r="R12" s="17"/>
      <c r="S12" s="17"/>
      <c r="T12" s="17"/>
      <c r="U12" s="36"/>
      <c r="V12" s="19"/>
    </row>
    <row r="13" spans="1:22" ht="15" customHeight="1" x14ac:dyDescent="0.25">
      <c r="A13" s="31"/>
      <c r="B13" s="42"/>
      <c r="C13" s="43" t="s">
        <v>32</v>
      </c>
      <c r="D13" s="49" t="s">
        <v>44</v>
      </c>
      <c r="E13" s="45">
        <v>8000</v>
      </c>
      <c r="F13" s="46">
        <v>0</v>
      </c>
      <c r="G13" s="45">
        <v>0</v>
      </c>
      <c r="H13" s="45" cm="1">
        <f t="array" ref="H13">E13*F13</f>
        <v>0</v>
      </c>
      <c r="I13" s="45" cm="1">
        <f t="array" ref="I13">E13-H13</f>
        <v>8000</v>
      </c>
      <c r="J13" s="45" cm="1">
        <f t="array" ref="J13">H13-G13</f>
        <v>0</v>
      </c>
      <c r="K13" s="56"/>
      <c r="L13" s="57" t="s">
        <v>45</v>
      </c>
      <c r="M13" s="58"/>
      <c r="N13" s="58"/>
      <c r="O13" s="59"/>
      <c r="P13" s="60"/>
      <c r="Q13" s="17"/>
      <c r="R13" s="17"/>
      <c r="S13" s="17"/>
      <c r="T13" s="17"/>
      <c r="U13" s="17"/>
      <c r="V13" s="19"/>
    </row>
    <row r="14" spans="1:22" ht="15" customHeight="1" x14ac:dyDescent="0.25">
      <c r="A14" s="31"/>
      <c r="B14" s="42"/>
      <c r="C14" s="42"/>
      <c r="D14" s="61" t="s">
        <v>46</v>
      </c>
      <c r="E14" s="62" cm="1">
        <f t="array" ref="E14">SUM(E9:E13)</f>
        <v>116000</v>
      </c>
      <c r="F14" s="63" cm="1">
        <f t="array" ref="F14">H14/E14</f>
        <v>0</v>
      </c>
      <c r="G14" s="62" cm="1">
        <f t="array" ref="G14">SUM(G9:G13)</f>
        <v>0</v>
      </c>
      <c r="H14" s="62" cm="1">
        <f t="array" ref="H14">SUM(H9:H13)</f>
        <v>0</v>
      </c>
      <c r="I14" s="62" cm="1">
        <f t="array" ref="I14">SUM(I9:I13)</f>
        <v>116000</v>
      </c>
      <c r="J14" s="62" cm="1">
        <f t="array" ref="J14">SUM(J9:J13)</f>
        <v>0</v>
      </c>
      <c r="K14" s="56"/>
      <c r="L14" s="135" t="s">
        <v>47</v>
      </c>
      <c r="M14" s="136"/>
      <c r="N14" s="137"/>
      <c r="O14" s="64"/>
      <c r="P14" s="60"/>
      <c r="Q14" s="17"/>
      <c r="R14" s="17"/>
      <c r="S14" s="17"/>
      <c r="T14" s="17"/>
      <c r="U14" s="17"/>
      <c r="V14" s="19"/>
    </row>
    <row r="15" spans="1:22" ht="15" customHeight="1" x14ac:dyDescent="0.25">
      <c r="A15" s="31"/>
      <c r="B15" s="65"/>
      <c r="C15" s="65"/>
      <c r="D15" s="66"/>
      <c r="E15" s="67"/>
      <c r="F15" s="68"/>
      <c r="G15" s="67"/>
      <c r="H15" s="69" t="s">
        <v>48</v>
      </c>
      <c r="I15" s="67"/>
      <c r="J15" s="67"/>
      <c r="K15" s="56"/>
      <c r="L15" s="138"/>
      <c r="M15" s="139"/>
      <c r="N15" s="140"/>
      <c r="O15" s="70"/>
      <c r="P15" s="60"/>
      <c r="Q15" s="16" t="s">
        <v>49</v>
      </c>
      <c r="R15" s="17"/>
      <c r="S15" s="17"/>
      <c r="T15" s="17"/>
      <c r="U15" s="17"/>
      <c r="V15" s="71" cm="1">
        <f t="array" ref="V15">E83</f>
        <v>996000</v>
      </c>
    </row>
    <row r="16" spans="1:22" ht="15" customHeight="1" x14ac:dyDescent="0.25">
      <c r="A16" s="31"/>
      <c r="B16" s="43" t="s">
        <v>50</v>
      </c>
      <c r="C16" s="43" t="s">
        <v>51</v>
      </c>
      <c r="D16" s="49" t="s">
        <v>52</v>
      </c>
      <c r="E16" s="45">
        <v>36000</v>
      </c>
      <c r="F16" s="46">
        <v>0</v>
      </c>
      <c r="G16" s="45">
        <v>0</v>
      </c>
      <c r="H16" s="45" cm="1">
        <f t="array" ref="H16">E16*F16</f>
        <v>0</v>
      </c>
      <c r="I16" s="45" cm="1">
        <f t="array" ref="I16">E16-H16</f>
        <v>36000</v>
      </c>
      <c r="J16" s="45" cm="1">
        <f t="array" ref="J16">H16-G16</f>
        <v>0</v>
      </c>
      <c r="K16" s="56"/>
      <c r="L16" s="72"/>
      <c r="M16" s="73"/>
      <c r="N16" s="74"/>
      <c r="O16" s="75"/>
      <c r="P16" s="60"/>
      <c r="Q16" s="17"/>
      <c r="R16" s="17"/>
      <c r="S16" s="17"/>
      <c r="T16" s="17"/>
      <c r="U16" s="17"/>
      <c r="V16" s="76"/>
    </row>
    <row r="17" spans="1:22" ht="15" customHeight="1" x14ac:dyDescent="0.25">
      <c r="A17" s="31"/>
      <c r="B17" s="43" t="s">
        <v>53</v>
      </c>
      <c r="C17" s="43" t="s">
        <v>51</v>
      </c>
      <c r="D17" s="49" t="s">
        <v>52</v>
      </c>
      <c r="E17" s="45">
        <v>14000</v>
      </c>
      <c r="F17" s="46">
        <v>0</v>
      </c>
      <c r="G17" s="45">
        <v>0</v>
      </c>
      <c r="H17" s="45" cm="1">
        <f t="array" ref="H17">E17*F17</f>
        <v>0</v>
      </c>
      <c r="I17" s="45" cm="1">
        <f t="array" ref="I17">E17-H17</f>
        <v>14000</v>
      </c>
      <c r="J17" s="45" cm="1">
        <f t="array" ref="J17">H17-G17</f>
        <v>0</v>
      </c>
      <c r="K17" s="56"/>
      <c r="L17" s="77"/>
      <c r="M17" s="78"/>
      <c r="N17" s="79" t="s">
        <v>54</v>
      </c>
      <c r="O17" s="79" t="s">
        <v>55</v>
      </c>
      <c r="P17" s="60"/>
      <c r="Q17" s="16" t="s">
        <v>56</v>
      </c>
      <c r="R17" s="17"/>
      <c r="S17" s="17"/>
      <c r="T17" s="17"/>
      <c r="U17" s="17"/>
      <c r="V17" s="76" cm="1">
        <f t="array" ref="V17">N32</f>
        <v>0</v>
      </c>
    </row>
    <row r="18" spans="1:22" ht="15" customHeight="1" x14ac:dyDescent="0.25">
      <c r="A18" s="31"/>
      <c r="B18" s="43" t="s">
        <v>50</v>
      </c>
      <c r="C18" s="43" t="s">
        <v>57</v>
      </c>
      <c r="D18" s="49" t="s">
        <v>58</v>
      </c>
      <c r="E18" s="45">
        <v>13500</v>
      </c>
      <c r="F18" s="46">
        <v>0</v>
      </c>
      <c r="G18" s="45">
        <v>0</v>
      </c>
      <c r="H18" s="45" cm="1">
        <f t="array" ref="H18">E18*F18</f>
        <v>0</v>
      </c>
      <c r="I18" s="45" cm="1">
        <f t="array" ref="I18">E18-H18</f>
        <v>13500</v>
      </c>
      <c r="J18" s="45" cm="1">
        <f t="array" ref="J18">H18-G18</f>
        <v>0</v>
      </c>
      <c r="K18" s="56"/>
      <c r="L18" s="80" t="s">
        <v>59</v>
      </c>
      <c r="M18" s="81"/>
      <c r="N18" s="81"/>
      <c r="O18" s="82"/>
      <c r="P18" s="60"/>
      <c r="Q18" s="16" t="s">
        <v>60</v>
      </c>
      <c r="R18" s="17"/>
      <c r="S18" s="17"/>
      <c r="T18" s="17"/>
      <c r="U18" s="17"/>
      <c r="V18" s="76" cm="1">
        <f t="array" ref="V18">V15+V17</f>
        <v>996000</v>
      </c>
    </row>
    <row r="19" spans="1:22" ht="15" customHeight="1" x14ac:dyDescent="0.25">
      <c r="A19" s="31"/>
      <c r="B19" s="43" t="s">
        <v>53</v>
      </c>
      <c r="C19" s="43" t="s">
        <v>57</v>
      </c>
      <c r="D19" s="49" t="s">
        <v>58</v>
      </c>
      <c r="E19" s="45">
        <v>4000</v>
      </c>
      <c r="F19" s="46">
        <v>0</v>
      </c>
      <c r="G19" s="45">
        <v>0</v>
      </c>
      <c r="H19" s="45" cm="1">
        <f t="array" ref="H19">E19*F19</f>
        <v>0</v>
      </c>
      <c r="I19" s="45" cm="1">
        <f t="array" ref="I19">E19-H19</f>
        <v>4000</v>
      </c>
      <c r="J19" s="45" cm="1">
        <f t="array" ref="J19">H19-G19</f>
        <v>0</v>
      </c>
      <c r="K19" s="56"/>
      <c r="L19" s="43" t="s">
        <v>61</v>
      </c>
      <c r="M19" s="80" t="s">
        <v>62</v>
      </c>
      <c r="N19" s="81"/>
      <c r="O19" s="78"/>
      <c r="P19" s="60"/>
      <c r="Q19" s="16" t="s">
        <v>63</v>
      </c>
      <c r="R19" s="17"/>
      <c r="S19" s="17"/>
      <c r="T19" s="17"/>
      <c r="U19" s="17"/>
      <c r="V19" s="76" cm="1">
        <f t="array" ref="V19">H83</f>
        <v>0</v>
      </c>
    </row>
    <row r="20" spans="1:22" ht="15" customHeight="1" x14ac:dyDescent="0.25">
      <c r="A20" s="31"/>
      <c r="B20" s="43" t="s">
        <v>50</v>
      </c>
      <c r="C20" s="43" t="s">
        <v>57</v>
      </c>
      <c r="D20" s="49" t="s">
        <v>64</v>
      </c>
      <c r="E20" s="45">
        <v>4500</v>
      </c>
      <c r="F20" s="46">
        <v>0</v>
      </c>
      <c r="G20" s="45">
        <v>0</v>
      </c>
      <c r="H20" s="45" cm="1">
        <f t="array" ref="H20">E20*F20</f>
        <v>0</v>
      </c>
      <c r="I20" s="45" cm="1">
        <f t="array" ref="I20">E20-H20</f>
        <v>4500</v>
      </c>
      <c r="J20" s="45" cm="1">
        <f t="array" ref="J20">H20-G20</f>
        <v>0</v>
      </c>
      <c r="K20" s="56"/>
      <c r="L20" s="83"/>
      <c r="M20" s="84"/>
      <c r="N20" s="85">
        <v>0</v>
      </c>
      <c r="O20" s="85">
        <v>0</v>
      </c>
      <c r="P20" s="60"/>
      <c r="Q20" s="17"/>
      <c r="R20" s="17"/>
      <c r="S20" s="17"/>
      <c r="T20" s="17"/>
      <c r="U20" s="17"/>
      <c r="V20" s="86"/>
    </row>
    <row r="21" spans="1:22" ht="15" customHeight="1" x14ac:dyDescent="0.25">
      <c r="A21" s="31"/>
      <c r="B21" s="43" t="s">
        <v>53</v>
      </c>
      <c r="C21" s="43" t="s">
        <v>57</v>
      </c>
      <c r="D21" s="49" t="s">
        <v>64</v>
      </c>
      <c r="E21" s="45">
        <v>1500</v>
      </c>
      <c r="F21" s="46">
        <v>0</v>
      </c>
      <c r="G21" s="45">
        <v>0</v>
      </c>
      <c r="H21" s="45" cm="1">
        <f t="array" ref="H21">E21*F21</f>
        <v>0</v>
      </c>
      <c r="I21" s="45" cm="1">
        <f t="array" ref="I21">E21-H21</f>
        <v>1500</v>
      </c>
      <c r="J21" s="45" cm="1">
        <f t="array" ref="J21">H21-G21</f>
        <v>0</v>
      </c>
      <c r="K21" s="56"/>
      <c r="L21" s="83"/>
      <c r="M21" s="83"/>
      <c r="N21" s="85">
        <v>0</v>
      </c>
      <c r="O21" s="85">
        <v>0</v>
      </c>
      <c r="P21" s="60"/>
      <c r="Q21" s="16" t="s">
        <v>65</v>
      </c>
      <c r="R21" s="17"/>
      <c r="S21" s="17"/>
      <c r="T21" s="17"/>
      <c r="U21" s="17"/>
      <c r="V21" s="87"/>
    </row>
    <row r="22" spans="1:22" ht="15" customHeight="1" x14ac:dyDescent="0.25">
      <c r="A22" s="31"/>
      <c r="B22" s="43" t="s">
        <v>50</v>
      </c>
      <c r="C22" s="43" t="s">
        <v>57</v>
      </c>
      <c r="D22" s="49" t="s">
        <v>66</v>
      </c>
      <c r="E22" s="45">
        <v>45000</v>
      </c>
      <c r="F22" s="46">
        <v>0</v>
      </c>
      <c r="G22" s="45">
        <v>0</v>
      </c>
      <c r="H22" s="45" cm="1">
        <f t="array" ref="H22">E22*F22</f>
        <v>0</v>
      </c>
      <c r="I22" s="45" cm="1">
        <f t="array" ref="I22">E22-H22</f>
        <v>45000</v>
      </c>
      <c r="J22" s="45" cm="1">
        <f t="array" ref="J22">H22-G22</f>
        <v>0</v>
      </c>
      <c r="K22" s="56"/>
      <c r="L22" s="83"/>
      <c r="M22" s="83"/>
      <c r="N22" s="85">
        <v>0</v>
      </c>
      <c r="O22" s="85">
        <v>0</v>
      </c>
      <c r="P22" s="60"/>
      <c r="Q22" s="88">
        <v>0.1</v>
      </c>
      <c r="R22" s="16" t="s">
        <v>67</v>
      </c>
      <c r="S22" s="17"/>
      <c r="T22" s="89" cm="1">
        <f t="array" ref="T22">V19*Q22</f>
        <v>0</v>
      </c>
      <c r="U22" s="17"/>
      <c r="V22" s="87"/>
    </row>
    <row r="23" spans="1:22" ht="15" customHeight="1" x14ac:dyDescent="0.25">
      <c r="A23" s="31"/>
      <c r="B23" s="43" t="s">
        <v>53</v>
      </c>
      <c r="C23" s="43" t="s">
        <v>57</v>
      </c>
      <c r="D23" s="49" t="s">
        <v>68</v>
      </c>
      <c r="E23" s="45">
        <v>10000</v>
      </c>
      <c r="F23" s="46">
        <v>0</v>
      </c>
      <c r="G23" s="45">
        <v>0</v>
      </c>
      <c r="H23" s="45" cm="1">
        <f t="array" ref="H23">E23*F23</f>
        <v>0</v>
      </c>
      <c r="I23" s="45" cm="1">
        <f t="array" ref="I23">E23-H23</f>
        <v>10000</v>
      </c>
      <c r="J23" s="45" cm="1">
        <f t="array" ref="J23">H23-G23</f>
        <v>0</v>
      </c>
      <c r="K23" s="56"/>
      <c r="L23" s="83"/>
      <c r="M23" s="83"/>
      <c r="N23" s="85">
        <v>0</v>
      </c>
      <c r="O23" s="85">
        <v>0</v>
      </c>
      <c r="P23" s="60"/>
      <c r="Q23" s="14"/>
      <c r="R23" s="16" t="s">
        <v>69</v>
      </c>
      <c r="S23" s="17"/>
      <c r="T23" s="90" t="s">
        <v>70</v>
      </c>
      <c r="U23" s="17"/>
      <c r="V23" s="87"/>
    </row>
    <row r="24" spans="1:22" ht="15" customHeight="1" x14ac:dyDescent="0.25">
      <c r="A24" s="31"/>
      <c r="B24" s="43" t="s">
        <v>50</v>
      </c>
      <c r="C24" s="43" t="s">
        <v>57</v>
      </c>
      <c r="D24" s="49" t="s">
        <v>71</v>
      </c>
      <c r="E24" s="45">
        <v>4500</v>
      </c>
      <c r="F24" s="46">
        <v>0</v>
      </c>
      <c r="G24" s="45">
        <v>0</v>
      </c>
      <c r="H24" s="45" cm="1">
        <f t="array" ref="H24">E24*F24</f>
        <v>0</v>
      </c>
      <c r="I24" s="45" cm="1">
        <f t="array" ref="I24">E24-H24</f>
        <v>4500</v>
      </c>
      <c r="J24" s="45" cm="1">
        <f t="array" ref="J24">H24-G24</f>
        <v>0</v>
      </c>
      <c r="K24" s="56"/>
      <c r="L24" s="83"/>
      <c r="M24" s="83"/>
      <c r="N24" s="85">
        <v>0</v>
      </c>
      <c r="O24" s="85">
        <v>0</v>
      </c>
      <c r="P24" s="60"/>
      <c r="Q24" s="16" t="s">
        <v>72</v>
      </c>
      <c r="R24" s="17"/>
      <c r="S24" s="17"/>
      <c r="T24" s="17"/>
      <c r="U24" s="17"/>
      <c r="V24" s="87"/>
    </row>
    <row r="25" spans="1:22" ht="15" customHeight="1" x14ac:dyDescent="0.25">
      <c r="A25" s="31"/>
      <c r="B25" s="43" t="s">
        <v>53</v>
      </c>
      <c r="C25" s="43" t="s">
        <v>57</v>
      </c>
      <c r="D25" s="49" t="s">
        <v>71</v>
      </c>
      <c r="E25" s="45">
        <v>2500</v>
      </c>
      <c r="F25" s="46">
        <v>0</v>
      </c>
      <c r="G25" s="45">
        <v>0</v>
      </c>
      <c r="H25" s="45" cm="1">
        <f t="array" ref="H25">E25*F25</f>
        <v>0</v>
      </c>
      <c r="I25" s="45" cm="1">
        <f t="array" ref="I25">E25-H25</f>
        <v>2500</v>
      </c>
      <c r="J25" s="45" cm="1">
        <f t="array" ref="J25">H25-G25</f>
        <v>0</v>
      </c>
      <c r="K25" s="56"/>
      <c r="L25" s="83"/>
      <c r="M25" s="83"/>
      <c r="N25" s="85">
        <v>0</v>
      </c>
      <c r="O25" s="85">
        <v>0</v>
      </c>
      <c r="P25" s="60"/>
      <c r="Q25" s="16" t="s">
        <v>73</v>
      </c>
      <c r="R25" s="17"/>
      <c r="S25" s="17"/>
      <c r="T25" s="17"/>
      <c r="U25" s="17"/>
      <c r="V25" s="71" cm="1">
        <f t="array" ref="V25">T22</f>
        <v>0</v>
      </c>
    </row>
    <row r="26" spans="1:22" ht="15" customHeight="1" x14ac:dyDescent="0.25">
      <c r="A26" s="31"/>
      <c r="B26" s="43" t="s">
        <v>50</v>
      </c>
      <c r="C26" s="43" t="s">
        <v>57</v>
      </c>
      <c r="D26" s="49" t="s">
        <v>74</v>
      </c>
      <c r="E26" s="45">
        <v>1800</v>
      </c>
      <c r="F26" s="46">
        <v>0</v>
      </c>
      <c r="G26" s="45">
        <v>0</v>
      </c>
      <c r="H26" s="45" cm="1">
        <f t="array" ref="H26">E26*F26</f>
        <v>0</v>
      </c>
      <c r="I26" s="45" cm="1">
        <f t="array" ref="I26">E26-H26</f>
        <v>1800</v>
      </c>
      <c r="J26" s="45" cm="1">
        <f t="array" ref="J26">H26-G26</f>
        <v>0</v>
      </c>
      <c r="K26" s="56"/>
      <c r="L26" s="83"/>
      <c r="M26" s="83"/>
      <c r="N26" s="85">
        <v>0</v>
      </c>
      <c r="O26" s="85">
        <v>0</v>
      </c>
      <c r="P26" s="60"/>
      <c r="Q26" s="16" t="s">
        <v>75</v>
      </c>
      <c r="R26" s="17"/>
      <c r="S26" s="17"/>
      <c r="T26" s="17"/>
      <c r="U26" s="17"/>
      <c r="V26" s="76" cm="1">
        <f t="array" ref="V26">V19-V25</f>
        <v>0</v>
      </c>
    </row>
    <row r="27" spans="1:22" ht="15" customHeight="1" x14ac:dyDescent="0.25">
      <c r="A27" s="31"/>
      <c r="B27" s="43" t="s">
        <v>53</v>
      </c>
      <c r="C27" s="43" t="s">
        <v>57</v>
      </c>
      <c r="D27" s="49" t="s">
        <v>74</v>
      </c>
      <c r="E27" s="45">
        <v>1200</v>
      </c>
      <c r="F27" s="46">
        <v>0</v>
      </c>
      <c r="G27" s="45">
        <v>0</v>
      </c>
      <c r="H27" s="45" cm="1">
        <f t="array" ref="H27">E27*F27</f>
        <v>0</v>
      </c>
      <c r="I27" s="45" cm="1">
        <f t="array" ref="I27">E27-H27</f>
        <v>1200</v>
      </c>
      <c r="J27" s="45" cm="1">
        <f t="array" ref="J27">H27-G27</f>
        <v>0</v>
      </c>
      <c r="K27" s="56"/>
      <c r="L27" s="83"/>
      <c r="M27" s="83"/>
      <c r="N27" s="85">
        <v>0</v>
      </c>
      <c r="O27" s="85">
        <v>0</v>
      </c>
      <c r="P27" s="60"/>
      <c r="Q27" s="17"/>
      <c r="R27" s="16" t="s">
        <v>76</v>
      </c>
      <c r="S27" s="17"/>
      <c r="T27" s="17"/>
      <c r="U27" s="17"/>
      <c r="V27" s="86"/>
    </row>
    <row r="28" spans="1:22" ht="15" customHeight="1" x14ac:dyDescent="0.25">
      <c r="A28" s="31"/>
      <c r="B28" s="43" t="s">
        <v>50</v>
      </c>
      <c r="C28" s="43" t="s">
        <v>57</v>
      </c>
      <c r="D28" s="49" t="s">
        <v>77</v>
      </c>
      <c r="E28" s="45">
        <v>27000</v>
      </c>
      <c r="F28" s="46">
        <v>0</v>
      </c>
      <c r="G28" s="45">
        <v>0</v>
      </c>
      <c r="H28" s="45" cm="1">
        <f t="array" ref="H28">E28*F28</f>
        <v>0</v>
      </c>
      <c r="I28" s="45" cm="1">
        <f t="array" ref="I28">E28-H28</f>
        <v>27000</v>
      </c>
      <c r="J28" s="45" cm="1">
        <f t="array" ref="J28">H28-G28</f>
        <v>0</v>
      </c>
      <c r="K28" s="56"/>
      <c r="L28" s="83"/>
      <c r="M28" s="83"/>
      <c r="N28" s="85">
        <v>0</v>
      </c>
      <c r="O28" s="85">
        <v>0</v>
      </c>
      <c r="P28" s="60"/>
      <c r="Q28" s="16" t="s">
        <v>78</v>
      </c>
      <c r="R28" s="17"/>
      <c r="S28" s="17"/>
      <c r="T28" s="17"/>
      <c r="U28" s="17"/>
      <c r="V28" s="71">
        <v>0</v>
      </c>
    </row>
    <row r="29" spans="1:22" ht="15" customHeight="1" x14ac:dyDescent="0.25">
      <c r="A29" s="31"/>
      <c r="B29" s="43" t="s">
        <v>53</v>
      </c>
      <c r="C29" s="43" t="s">
        <v>57</v>
      </c>
      <c r="D29" s="49" t="s">
        <v>77</v>
      </c>
      <c r="E29" s="45">
        <v>8000</v>
      </c>
      <c r="F29" s="46">
        <v>0</v>
      </c>
      <c r="G29" s="45">
        <v>0</v>
      </c>
      <c r="H29" s="45" cm="1">
        <f t="array" ref="H29">E29*F29</f>
        <v>0</v>
      </c>
      <c r="I29" s="45" cm="1">
        <f t="array" ref="I29">E29-H29</f>
        <v>8000</v>
      </c>
      <c r="J29" s="45" cm="1">
        <f t="array" ref="J29">H29-G29</f>
        <v>0</v>
      </c>
      <c r="K29" s="56"/>
      <c r="L29" s="83"/>
      <c r="M29" s="83"/>
      <c r="N29" s="85">
        <v>0</v>
      </c>
      <c r="O29" s="85">
        <v>0</v>
      </c>
      <c r="P29" s="60"/>
      <c r="Q29" s="17"/>
      <c r="R29" s="16" t="s">
        <v>79</v>
      </c>
      <c r="S29" s="17"/>
      <c r="T29" s="17"/>
      <c r="U29" s="17"/>
      <c r="V29" s="86"/>
    </row>
    <row r="30" spans="1:22" ht="15" customHeight="1" x14ac:dyDescent="0.25">
      <c r="A30" s="31"/>
      <c r="B30" s="43" t="s">
        <v>50</v>
      </c>
      <c r="C30" s="43" t="s">
        <v>57</v>
      </c>
      <c r="D30" s="49" t="s">
        <v>80</v>
      </c>
      <c r="E30" s="45">
        <v>27000</v>
      </c>
      <c r="F30" s="46">
        <v>0</v>
      </c>
      <c r="G30" s="45">
        <v>0</v>
      </c>
      <c r="H30" s="45" cm="1">
        <f t="array" ref="H30">E30*F30</f>
        <v>0</v>
      </c>
      <c r="I30" s="45" cm="1">
        <f t="array" ref="I30">E30-H30</f>
        <v>27000</v>
      </c>
      <c r="J30" s="45" cm="1">
        <f t="array" ref="J30">H30-G30</f>
        <v>0</v>
      </c>
      <c r="K30" s="56"/>
      <c r="L30" s="83"/>
      <c r="M30" s="83"/>
      <c r="N30" s="85">
        <v>0</v>
      </c>
      <c r="O30" s="85">
        <v>0</v>
      </c>
      <c r="P30" s="60"/>
      <c r="Q30" s="16" t="s">
        <v>81</v>
      </c>
      <c r="R30" s="17"/>
      <c r="S30" s="17"/>
      <c r="T30" s="17"/>
      <c r="U30" s="17"/>
      <c r="V30" s="71" cm="1">
        <f t="array" ref="V30">V19-V25-V28</f>
        <v>0</v>
      </c>
    </row>
    <row r="31" spans="1:22" ht="15" customHeight="1" x14ac:dyDescent="0.25">
      <c r="A31" s="31"/>
      <c r="B31" s="43" t="s">
        <v>53</v>
      </c>
      <c r="C31" s="43" t="s">
        <v>57</v>
      </c>
      <c r="D31" s="49" t="s">
        <v>80</v>
      </c>
      <c r="E31" s="45">
        <v>11000</v>
      </c>
      <c r="F31" s="46">
        <v>0</v>
      </c>
      <c r="G31" s="45">
        <v>0</v>
      </c>
      <c r="H31" s="45" cm="1">
        <f t="array" ref="H31">E31*F31</f>
        <v>0</v>
      </c>
      <c r="I31" s="45" cm="1">
        <f t="array" ref="I31">E31-H31</f>
        <v>11000</v>
      </c>
      <c r="J31" s="45" cm="1">
        <f t="array" ref="J31">H31-G31</f>
        <v>0</v>
      </c>
      <c r="K31" s="56"/>
      <c r="L31" s="83"/>
      <c r="M31" s="83"/>
      <c r="N31" s="85" cm="1">
        <f t="array" ref="N31">SUM(N20:N30)</f>
        <v>0</v>
      </c>
      <c r="O31" s="85" cm="1">
        <f t="array" ref="O31">SUM(O20:O30)</f>
        <v>0</v>
      </c>
      <c r="P31" s="60"/>
      <c r="Q31" s="16" t="s">
        <v>82</v>
      </c>
      <c r="R31" s="17"/>
      <c r="S31" s="17"/>
      <c r="T31" s="17"/>
      <c r="U31" s="17"/>
      <c r="V31" s="76" cm="1">
        <f t="array" ref="V31">V18-V26</f>
        <v>996000</v>
      </c>
    </row>
    <row r="32" spans="1:22" ht="15" customHeight="1" x14ac:dyDescent="0.25">
      <c r="A32" s="31"/>
      <c r="B32" s="43" t="s">
        <v>50</v>
      </c>
      <c r="C32" s="43" t="s">
        <v>57</v>
      </c>
      <c r="D32" s="49" t="s">
        <v>83</v>
      </c>
      <c r="E32" s="45">
        <v>18000</v>
      </c>
      <c r="F32" s="46">
        <v>0</v>
      </c>
      <c r="G32" s="45">
        <v>0</v>
      </c>
      <c r="H32" s="45" cm="1">
        <f t="array" ref="H32">E32*F32</f>
        <v>0</v>
      </c>
      <c r="I32" s="45" cm="1">
        <f t="array" ref="I32">E32-H32</f>
        <v>18000</v>
      </c>
      <c r="J32" s="45" cm="1">
        <f t="array" ref="J32">H32-G32</f>
        <v>0</v>
      </c>
      <c r="K32" s="56"/>
      <c r="L32" s="133" t="s">
        <v>84</v>
      </c>
      <c r="M32" s="134"/>
      <c r="N32" s="52" cm="1">
        <f t="array" ref="N32">N31</f>
        <v>0</v>
      </c>
      <c r="O32" s="91"/>
      <c r="P32" s="92"/>
      <c r="Q32" s="50" t="s">
        <v>85</v>
      </c>
      <c r="R32" s="50" t="s">
        <v>86</v>
      </c>
      <c r="S32" s="8"/>
      <c r="T32" s="8"/>
      <c r="U32" s="8"/>
      <c r="V32" s="52"/>
    </row>
    <row r="33" spans="1:22" ht="15" customHeight="1" x14ac:dyDescent="0.25">
      <c r="A33" s="31"/>
      <c r="B33" s="43" t="s">
        <v>53</v>
      </c>
      <c r="C33" s="43" t="s">
        <v>57</v>
      </c>
      <c r="D33" s="49" t="s">
        <v>87</v>
      </c>
      <c r="E33" s="45">
        <v>10000</v>
      </c>
      <c r="F33" s="46">
        <v>0</v>
      </c>
      <c r="G33" s="45">
        <v>0</v>
      </c>
      <c r="H33" s="45" cm="1">
        <f t="array" ref="H33">E33*F33</f>
        <v>0</v>
      </c>
      <c r="I33" s="45" cm="1">
        <f t="array" ref="I33">E33-H33</f>
        <v>10000</v>
      </c>
      <c r="J33" s="45" cm="1">
        <f t="array" ref="J33">H33-G33</f>
        <v>0</v>
      </c>
      <c r="K33" s="93"/>
      <c r="L33" s="94" t="s">
        <v>88</v>
      </c>
      <c r="M33" s="14"/>
      <c r="N33" s="14"/>
      <c r="O33" s="14"/>
      <c r="P33" s="95"/>
      <c r="Q33" s="94" t="s">
        <v>89</v>
      </c>
      <c r="R33" s="14"/>
      <c r="S33" s="14"/>
      <c r="T33" s="14"/>
      <c r="U33" s="141" t="s">
        <v>90</v>
      </c>
      <c r="V33" s="142"/>
    </row>
    <row r="34" spans="1:22" ht="24" customHeight="1" x14ac:dyDescent="0.5">
      <c r="A34" s="31"/>
      <c r="B34" s="43" t="s">
        <v>50</v>
      </c>
      <c r="C34" s="43" t="s">
        <v>57</v>
      </c>
      <c r="D34" s="49" t="s">
        <v>91</v>
      </c>
      <c r="E34" s="45">
        <v>9000</v>
      </c>
      <c r="F34" s="46">
        <v>0</v>
      </c>
      <c r="G34" s="45">
        <v>0</v>
      </c>
      <c r="H34" s="45" cm="1">
        <f t="array" ref="H34">E34*F34</f>
        <v>0</v>
      </c>
      <c r="I34" s="45" cm="1">
        <f t="array" ref="I34">E34-H34</f>
        <v>9000</v>
      </c>
      <c r="J34" s="45" cm="1">
        <f t="array" ref="J34">H34-G34</f>
        <v>0</v>
      </c>
      <c r="K34" s="93"/>
      <c r="L34" s="96" t="s">
        <v>92</v>
      </c>
      <c r="M34" s="97" t="s">
        <v>93</v>
      </c>
      <c r="N34" s="26"/>
      <c r="O34" s="98" t="s">
        <v>94</v>
      </c>
      <c r="P34" s="99"/>
      <c r="Q34" s="100"/>
      <c r="R34" s="16" t="s">
        <v>95</v>
      </c>
      <c r="S34" s="17"/>
      <c r="T34" s="17"/>
      <c r="U34" s="17"/>
      <c r="V34" s="101"/>
    </row>
    <row r="35" spans="1:22" ht="14.5" customHeight="1" x14ac:dyDescent="0.25">
      <c r="A35" s="31"/>
      <c r="B35" s="43" t="s">
        <v>53</v>
      </c>
      <c r="C35" s="43" t="s">
        <v>57</v>
      </c>
      <c r="D35" s="49" t="s">
        <v>91</v>
      </c>
      <c r="E35" s="45">
        <v>5000</v>
      </c>
      <c r="F35" s="46">
        <v>0</v>
      </c>
      <c r="G35" s="45">
        <v>0</v>
      </c>
      <c r="H35" s="45" cm="1">
        <f t="array" ref="H35">E35*F35</f>
        <v>0</v>
      </c>
      <c r="I35" s="45" cm="1">
        <f t="array" ref="I35">E35-H35</f>
        <v>5000</v>
      </c>
      <c r="J35" s="45" cm="1">
        <f t="array" ref="J35">H35-G35</f>
        <v>0</v>
      </c>
      <c r="K35" s="93"/>
      <c r="L35" s="102"/>
      <c r="M35" s="51" t="s">
        <v>93</v>
      </c>
      <c r="N35" s="103"/>
      <c r="O35" s="51" t="s">
        <v>96</v>
      </c>
      <c r="P35" s="104"/>
      <c r="Q35" s="102"/>
      <c r="R35" s="8"/>
      <c r="S35" s="8"/>
      <c r="T35" s="8"/>
      <c r="U35" s="8"/>
      <c r="V35" s="105"/>
    </row>
    <row r="36" spans="1:22" ht="18" customHeight="1" x14ac:dyDescent="0.25">
      <c r="A36" s="31"/>
      <c r="B36" s="43" t="s">
        <v>50</v>
      </c>
      <c r="C36" s="43" t="s">
        <v>57</v>
      </c>
      <c r="D36" s="49" t="s">
        <v>97</v>
      </c>
      <c r="E36" s="45">
        <v>13500</v>
      </c>
      <c r="F36" s="46">
        <v>0</v>
      </c>
      <c r="G36" s="45">
        <v>0</v>
      </c>
      <c r="H36" s="45" cm="1">
        <f t="array" ref="H36">E36*F36</f>
        <v>0</v>
      </c>
      <c r="I36" s="45" cm="1">
        <f t="array" ref="I36">E36-H36</f>
        <v>13500</v>
      </c>
      <c r="J36" s="45" cm="1">
        <f t="array" ref="J36">H36-G36</f>
        <v>0</v>
      </c>
      <c r="K36" s="35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</row>
    <row r="37" spans="1:22" ht="19.5" customHeight="1" x14ac:dyDescent="0.25">
      <c r="A37" s="31"/>
      <c r="B37" s="43" t="s">
        <v>53</v>
      </c>
      <c r="C37" s="43" t="s">
        <v>57</v>
      </c>
      <c r="D37" s="49" t="s">
        <v>97</v>
      </c>
      <c r="E37" s="45">
        <v>4000</v>
      </c>
      <c r="F37" s="46">
        <v>0</v>
      </c>
      <c r="G37" s="45">
        <v>0</v>
      </c>
      <c r="H37" s="45" cm="1">
        <f t="array" ref="H37">E37*F37</f>
        <v>0</v>
      </c>
      <c r="I37" s="45" cm="1">
        <f t="array" ref="I37">E37-H37</f>
        <v>4000</v>
      </c>
      <c r="J37" s="45" cm="1">
        <f t="array" ref="J37">H37-G37</f>
        <v>0</v>
      </c>
      <c r="K37" s="3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5" customHeight="1" x14ac:dyDescent="0.25">
      <c r="A38" s="31"/>
      <c r="B38" s="43" t="s">
        <v>50</v>
      </c>
      <c r="C38" s="43" t="s">
        <v>57</v>
      </c>
      <c r="D38" s="49" t="s">
        <v>98</v>
      </c>
      <c r="E38" s="45">
        <v>49500</v>
      </c>
      <c r="F38" s="46">
        <v>0</v>
      </c>
      <c r="G38" s="45">
        <v>0</v>
      </c>
      <c r="H38" s="45" cm="1">
        <f t="array" ref="H38">E38*F38</f>
        <v>0</v>
      </c>
      <c r="I38" s="45" cm="1">
        <f t="array" ref="I38">E38-H38</f>
        <v>49500</v>
      </c>
      <c r="J38" s="45" cm="1">
        <f t="array" ref="J38">H38-G38</f>
        <v>0</v>
      </c>
      <c r="K38" s="3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4" customHeight="1" x14ac:dyDescent="0.25">
      <c r="A39" s="31"/>
      <c r="B39" s="43" t="s">
        <v>53</v>
      </c>
      <c r="C39" s="43" t="s">
        <v>57</v>
      </c>
      <c r="D39" s="49" t="s">
        <v>98</v>
      </c>
      <c r="E39" s="45">
        <v>20500</v>
      </c>
      <c r="F39" s="46">
        <v>0</v>
      </c>
      <c r="G39" s="45">
        <v>0</v>
      </c>
      <c r="H39" s="45" cm="1">
        <f t="array" ref="H39">E39*F39</f>
        <v>0</v>
      </c>
      <c r="I39" s="45" cm="1">
        <f t="array" ref="I39">E39-H39</f>
        <v>20500</v>
      </c>
      <c r="J39" s="45" cm="1">
        <f t="array" ref="J39">H39-G39</f>
        <v>0</v>
      </c>
      <c r="K39" s="3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4" customHeight="1" x14ac:dyDescent="0.25">
      <c r="A40" s="31"/>
      <c r="B40" s="43" t="s">
        <v>50</v>
      </c>
      <c r="C40" s="43" t="s">
        <v>57</v>
      </c>
      <c r="D40" s="49" t="s">
        <v>99</v>
      </c>
      <c r="E40" s="45">
        <v>36000</v>
      </c>
      <c r="F40" s="46">
        <v>0</v>
      </c>
      <c r="G40" s="45">
        <v>0</v>
      </c>
      <c r="H40" s="45" cm="1">
        <f t="array" ref="H40">E40*F40</f>
        <v>0</v>
      </c>
      <c r="I40" s="45" cm="1">
        <f t="array" ref="I40">E40-H40</f>
        <v>36000</v>
      </c>
      <c r="J40" s="45" cm="1">
        <f t="array" ref="J40">H40-G40</f>
        <v>0</v>
      </c>
      <c r="K40" s="3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" customHeight="1" x14ac:dyDescent="0.25">
      <c r="A41" s="31"/>
      <c r="B41" s="43" t="s">
        <v>53</v>
      </c>
      <c r="C41" s="43" t="s">
        <v>57</v>
      </c>
      <c r="D41" s="49" t="s">
        <v>99</v>
      </c>
      <c r="E41" s="45">
        <v>19000</v>
      </c>
      <c r="F41" s="46">
        <v>0</v>
      </c>
      <c r="G41" s="45">
        <v>0</v>
      </c>
      <c r="H41" s="45" cm="1">
        <f t="array" ref="H41">E41*F41</f>
        <v>0</v>
      </c>
      <c r="I41" s="45" cm="1">
        <f t="array" ref="I41">E41-H41</f>
        <v>19000</v>
      </c>
      <c r="J41" s="45" cm="1">
        <f t="array" ref="J41">H41-G41</f>
        <v>0</v>
      </c>
      <c r="K41" s="3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" customHeight="1" x14ac:dyDescent="0.25">
      <c r="A42" s="31"/>
      <c r="B42" s="43" t="s">
        <v>50</v>
      </c>
      <c r="C42" s="43" t="s">
        <v>57</v>
      </c>
      <c r="D42" s="49" t="s">
        <v>100</v>
      </c>
      <c r="E42" s="45">
        <v>18000</v>
      </c>
      <c r="F42" s="46">
        <v>0</v>
      </c>
      <c r="G42" s="45">
        <v>0</v>
      </c>
      <c r="H42" s="45" cm="1">
        <f t="array" ref="H42">E42*F42</f>
        <v>0</v>
      </c>
      <c r="I42" s="45" cm="1">
        <f t="array" ref="I42">E42-H42</f>
        <v>18000</v>
      </c>
      <c r="J42" s="45" cm="1">
        <f t="array" ref="J42">H42-G42</f>
        <v>0</v>
      </c>
      <c r="K42" s="3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" customHeight="1" x14ac:dyDescent="0.25">
      <c r="A43" s="31"/>
      <c r="B43" s="43" t="s">
        <v>53</v>
      </c>
      <c r="C43" s="43" t="s">
        <v>57</v>
      </c>
      <c r="D43" s="49" t="s">
        <v>100</v>
      </c>
      <c r="E43" s="45">
        <v>7000</v>
      </c>
      <c r="F43" s="46">
        <v>0</v>
      </c>
      <c r="G43" s="45">
        <v>0</v>
      </c>
      <c r="H43" s="45" cm="1">
        <f t="array" ref="H43">E43*F43</f>
        <v>0</v>
      </c>
      <c r="I43" s="45" cm="1">
        <f t="array" ref="I43">E43-H43</f>
        <v>7000</v>
      </c>
      <c r="J43" s="45" cm="1">
        <f t="array" ref="J43">H43-G43</f>
        <v>0</v>
      </c>
      <c r="K43" s="3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" customHeight="1" x14ac:dyDescent="0.25">
      <c r="A44" s="31"/>
      <c r="B44" s="43" t="s">
        <v>50</v>
      </c>
      <c r="C44" s="43" t="s">
        <v>57</v>
      </c>
      <c r="D44" s="49" t="s">
        <v>101</v>
      </c>
      <c r="E44" s="45">
        <v>9000</v>
      </c>
      <c r="F44" s="46">
        <v>0</v>
      </c>
      <c r="G44" s="45">
        <v>0</v>
      </c>
      <c r="H44" s="45" cm="1">
        <f t="array" ref="H44">E44*F44</f>
        <v>0</v>
      </c>
      <c r="I44" s="45" cm="1">
        <f t="array" ref="I44">E44-H44</f>
        <v>9000</v>
      </c>
      <c r="J44" s="45" cm="1">
        <f t="array" ref="J44">H44-G44</f>
        <v>0</v>
      </c>
      <c r="K44" s="3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" customHeight="1" x14ac:dyDescent="0.25">
      <c r="A45" s="31"/>
      <c r="B45" s="43" t="s">
        <v>53</v>
      </c>
      <c r="C45" s="43" t="s">
        <v>57</v>
      </c>
      <c r="D45" s="49" t="s">
        <v>101</v>
      </c>
      <c r="E45" s="45">
        <v>3000</v>
      </c>
      <c r="F45" s="46">
        <v>0</v>
      </c>
      <c r="G45" s="45">
        <v>0</v>
      </c>
      <c r="H45" s="45" cm="1">
        <f t="array" ref="H45">E45*F45</f>
        <v>0</v>
      </c>
      <c r="I45" s="45" cm="1">
        <f t="array" ref="I45">E45-H45</f>
        <v>3000</v>
      </c>
      <c r="J45" s="45" cm="1">
        <f t="array" ref="J45">H45-G45</f>
        <v>0</v>
      </c>
      <c r="K45" s="3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" customHeight="1" x14ac:dyDescent="0.25">
      <c r="A46" s="31"/>
      <c r="B46" s="43" t="s">
        <v>50</v>
      </c>
      <c r="C46" s="43" t="s">
        <v>57</v>
      </c>
      <c r="D46" s="49" t="s">
        <v>102</v>
      </c>
      <c r="E46" s="45">
        <v>13500</v>
      </c>
      <c r="F46" s="46">
        <v>0</v>
      </c>
      <c r="G46" s="45">
        <v>0</v>
      </c>
      <c r="H46" s="45" cm="1">
        <f t="array" ref="H46">E46*F46</f>
        <v>0</v>
      </c>
      <c r="I46" s="45" cm="1">
        <f t="array" ref="I46">E46-H46</f>
        <v>13500</v>
      </c>
      <c r="J46" s="45" cm="1">
        <f t="array" ref="J46">H46-G46</f>
        <v>0</v>
      </c>
      <c r="K46" s="3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" customHeight="1" x14ac:dyDescent="0.25">
      <c r="A47" s="31"/>
      <c r="B47" s="43" t="s">
        <v>53</v>
      </c>
      <c r="C47" s="43" t="s">
        <v>57</v>
      </c>
      <c r="D47" s="49" t="s">
        <v>102</v>
      </c>
      <c r="E47" s="45">
        <v>4000</v>
      </c>
      <c r="F47" s="46">
        <v>0</v>
      </c>
      <c r="G47" s="45">
        <v>0</v>
      </c>
      <c r="H47" s="45" cm="1">
        <f t="array" ref="H47">E47*F47</f>
        <v>0</v>
      </c>
      <c r="I47" s="45" cm="1">
        <f t="array" ref="I47">E47-H47</f>
        <v>4000</v>
      </c>
      <c r="J47" s="45" cm="1">
        <f t="array" ref="J47">H47-G47</f>
        <v>0</v>
      </c>
      <c r="K47" s="3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" customHeight="1" x14ac:dyDescent="0.25">
      <c r="A48" s="31"/>
      <c r="B48" s="43" t="s">
        <v>50</v>
      </c>
      <c r="C48" s="43" t="s">
        <v>57</v>
      </c>
      <c r="D48" s="49" t="s">
        <v>103</v>
      </c>
      <c r="E48" s="45">
        <v>49500</v>
      </c>
      <c r="F48" s="46">
        <v>0</v>
      </c>
      <c r="G48" s="45">
        <v>0</v>
      </c>
      <c r="H48" s="45" cm="1">
        <f t="array" ref="H48">E48*F48</f>
        <v>0</v>
      </c>
      <c r="I48" s="45" cm="1">
        <f t="array" ref="I48">E48-H48</f>
        <v>49500</v>
      </c>
      <c r="J48" s="45" cm="1">
        <f t="array" ref="J48">H48-G48</f>
        <v>0</v>
      </c>
      <c r="K48" s="3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" customHeight="1" x14ac:dyDescent="0.25">
      <c r="A49" s="31"/>
      <c r="B49" s="43" t="s">
        <v>53</v>
      </c>
      <c r="C49" s="43" t="s">
        <v>57</v>
      </c>
      <c r="D49" s="49" t="s">
        <v>103</v>
      </c>
      <c r="E49" s="45">
        <v>20500</v>
      </c>
      <c r="F49" s="46">
        <v>0</v>
      </c>
      <c r="G49" s="45">
        <v>0</v>
      </c>
      <c r="H49" s="45" cm="1">
        <f t="array" ref="H49">E49*F49</f>
        <v>0</v>
      </c>
      <c r="I49" s="45" cm="1">
        <f t="array" ref="I49">E49-H49</f>
        <v>20500</v>
      </c>
      <c r="J49" s="45" cm="1">
        <f t="array" ref="J49">H49-G49</f>
        <v>0</v>
      </c>
      <c r="K49" s="3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" customHeight="1" x14ac:dyDescent="0.25">
      <c r="A50" s="31"/>
      <c r="B50" s="43" t="s">
        <v>50</v>
      </c>
      <c r="C50" s="43" t="s">
        <v>57</v>
      </c>
      <c r="D50" s="49" t="s">
        <v>104</v>
      </c>
      <c r="E50" s="45">
        <v>31500</v>
      </c>
      <c r="F50" s="46">
        <v>0</v>
      </c>
      <c r="G50" s="45">
        <v>0</v>
      </c>
      <c r="H50" s="45" cm="1">
        <f t="array" ref="H50">E50*F50</f>
        <v>0</v>
      </c>
      <c r="I50" s="45" cm="1">
        <f t="array" ref="I50">E50-H50</f>
        <v>31500</v>
      </c>
      <c r="J50" s="45" cm="1">
        <f t="array" ref="J50">H50-G50</f>
        <v>0</v>
      </c>
      <c r="K50" s="3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" customHeight="1" x14ac:dyDescent="0.25">
      <c r="A51" s="31"/>
      <c r="B51" s="43" t="s">
        <v>53</v>
      </c>
      <c r="C51" s="43" t="s">
        <v>57</v>
      </c>
      <c r="D51" s="49" t="s">
        <v>104</v>
      </c>
      <c r="E51" s="45">
        <v>13500</v>
      </c>
      <c r="F51" s="46">
        <v>0</v>
      </c>
      <c r="G51" s="45">
        <v>0</v>
      </c>
      <c r="H51" s="45" cm="1">
        <f t="array" ref="H51">E51*F51</f>
        <v>0</v>
      </c>
      <c r="I51" s="45" cm="1">
        <f t="array" ref="I51">E51-H51</f>
        <v>13500</v>
      </c>
      <c r="J51" s="45" cm="1">
        <f t="array" ref="J51">H51-G51</f>
        <v>0</v>
      </c>
      <c r="K51" s="3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" customHeight="1" x14ac:dyDescent="0.25">
      <c r="A52" s="31"/>
      <c r="B52" s="43" t="s">
        <v>50</v>
      </c>
      <c r="C52" s="43" t="s">
        <v>57</v>
      </c>
      <c r="D52" s="49" t="s">
        <v>105</v>
      </c>
      <c r="E52" s="45">
        <v>18000</v>
      </c>
      <c r="F52" s="46">
        <v>0</v>
      </c>
      <c r="G52" s="45">
        <v>0</v>
      </c>
      <c r="H52" s="45" cm="1">
        <f t="array" ref="H52">E52*F52</f>
        <v>0</v>
      </c>
      <c r="I52" s="45" cm="1">
        <f t="array" ref="I52">E52-H52</f>
        <v>18000</v>
      </c>
      <c r="J52" s="45" cm="1">
        <f t="array" ref="J52">H52-G52</f>
        <v>0</v>
      </c>
      <c r="K52" s="3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" customHeight="1" x14ac:dyDescent="0.25">
      <c r="A53" s="31"/>
      <c r="B53" s="43" t="s">
        <v>53</v>
      </c>
      <c r="C53" s="43" t="s">
        <v>57</v>
      </c>
      <c r="D53" s="49" t="s">
        <v>105</v>
      </c>
      <c r="E53" s="45">
        <v>7000</v>
      </c>
      <c r="F53" s="46">
        <v>0</v>
      </c>
      <c r="G53" s="45">
        <v>0</v>
      </c>
      <c r="H53" s="45" cm="1">
        <f t="array" ref="H53">E53*F53</f>
        <v>0</v>
      </c>
      <c r="I53" s="45" cm="1">
        <f t="array" ref="I53">E53-H53</f>
        <v>7000</v>
      </c>
      <c r="J53" s="45" cm="1">
        <f t="array" ref="J53">H53-G53</f>
        <v>0</v>
      </c>
      <c r="K53" s="3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" customHeight="1" x14ac:dyDescent="0.25">
      <c r="A54" s="31"/>
      <c r="B54" s="43" t="s">
        <v>50</v>
      </c>
      <c r="C54" s="43" t="s">
        <v>57</v>
      </c>
      <c r="D54" s="49" t="s">
        <v>106</v>
      </c>
      <c r="E54" s="45">
        <v>13500</v>
      </c>
      <c r="F54" s="46">
        <v>0</v>
      </c>
      <c r="G54" s="45">
        <v>0</v>
      </c>
      <c r="H54" s="45" cm="1">
        <f t="array" ref="H54">E54*F54</f>
        <v>0</v>
      </c>
      <c r="I54" s="45" cm="1">
        <f t="array" ref="I54">E54-H54</f>
        <v>13500</v>
      </c>
      <c r="J54" s="45" cm="1">
        <f t="array" ref="J54">H54-G54</f>
        <v>0</v>
      </c>
      <c r="K54" s="35"/>
      <c r="L54" s="107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" customHeight="1" x14ac:dyDescent="0.25">
      <c r="A55" s="31"/>
      <c r="B55" s="43" t="s">
        <v>53</v>
      </c>
      <c r="C55" s="43" t="s">
        <v>57</v>
      </c>
      <c r="D55" s="49" t="s">
        <v>106</v>
      </c>
      <c r="E55" s="45">
        <v>3500</v>
      </c>
      <c r="F55" s="46">
        <v>0</v>
      </c>
      <c r="G55" s="45">
        <v>0</v>
      </c>
      <c r="H55" s="45" cm="1">
        <f t="array" ref="H55">E55*F55</f>
        <v>0</v>
      </c>
      <c r="I55" s="45" cm="1">
        <f t="array" ref="I55">E55-H55</f>
        <v>3500</v>
      </c>
      <c r="J55" s="45" cm="1">
        <f t="array" ref="J55">H55-G55</f>
        <v>0</v>
      </c>
      <c r="K55" s="3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" customHeight="1" x14ac:dyDescent="0.25">
      <c r="A56" s="31"/>
      <c r="B56" s="43" t="s">
        <v>50</v>
      </c>
      <c r="C56" s="43" t="s">
        <v>57</v>
      </c>
      <c r="D56" s="49" t="s">
        <v>107</v>
      </c>
      <c r="E56" s="45">
        <v>13500</v>
      </c>
      <c r="F56" s="46">
        <v>0</v>
      </c>
      <c r="G56" s="45">
        <v>0</v>
      </c>
      <c r="H56" s="45" cm="1">
        <f t="array" ref="H56">E56*F56</f>
        <v>0</v>
      </c>
      <c r="I56" s="45" cm="1">
        <f t="array" ref="I56">E56-H56</f>
        <v>13500</v>
      </c>
      <c r="J56" s="45" cm="1">
        <f t="array" ref="J56">H56-G56</f>
        <v>0</v>
      </c>
      <c r="K56" s="3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" customHeight="1" x14ac:dyDescent="0.25">
      <c r="A57" s="31"/>
      <c r="B57" s="43" t="s">
        <v>53</v>
      </c>
      <c r="C57" s="43" t="s">
        <v>57</v>
      </c>
      <c r="D57" s="49" t="s">
        <v>107</v>
      </c>
      <c r="E57" s="45">
        <v>3500</v>
      </c>
      <c r="F57" s="46">
        <v>0</v>
      </c>
      <c r="G57" s="45">
        <v>0</v>
      </c>
      <c r="H57" s="45" cm="1">
        <f t="array" ref="H57">E57*F57</f>
        <v>0</v>
      </c>
      <c r="I57" s="45" cm="1">
        <f t="array" ref="I57">E57-H57</f>
        <v>3500</v>
      </c>
      <c r="J57" s="45" cm="1">
        <f t="array" ref="J57">H57-G57</f>
        <v>0</v>
      </c>
      <c r="K57" s="3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" customHeight="1" x14ac:dyDescent="0.25">
      <c r="A58" s="31"/>
      <c r="B58" s="43" t="s">
        <v>50</v>
      </c>
      <c r="C58" s="43" t="s">
        <v>57</v>
      </c>
      <c r="D58" s="49" t="s">
        <v>108</v>
      </c>
      <c r="E58" s="45">
        <v>31500</v>
      </c>
      <c r="F58" s="46">
        <v>0</v>
      </c>
      <c r="G58" s="45">
        <v>0</v>
      </c>
      <c r="H58" s="45" cm="1">
        <f t="array" ref="H58">E58*F58</f>
        <v>0</v>
      </c>
      <c r="I58" s="45" cm="1">
        <f t="array" ref="I58">E58-H58</f>
        <v>31500</v>
      </c>
      <c r="J58" s="45" cm="1">
        <f t="array" ref="J58">H58-G58</f>
        <v>0</v>
      </c>
      <c r="K58" s="3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" customHeight="1" x14ac:dyDescent="0.25">
      <c r="A59" s="31"/>
      <c r="B59" s="43" t="s">
        <v>53</v>
      </c>
      <c r="C59" s="43" t="s">
        <v>57</v>
      </c>
      <c r="D59" s="49" t="s">
        <v>108</v>
      </c>
      <c r="E59" s="45">
        <v>13500</v>
      </c>
      <c r="F59" s="46">
        <v>0</v>
      </c>
      <c r="G59" s="45">
        <v>0</v>
      </c>
      <c r="H59" s="45" cm="1">
        <f t="array" ref="H59">E59*F59</f>
        <v>0</v>
      </c>
      <c r="I59" s="45" cm="1">
        <f t="array" ref="I59">E59-H59</f>
        <v>13500</v>
      </c>
      <c r="J59" s="45" cm="1">
        <f t="array" ref="J59">H59-G59</f>
        <v>0</v>
      </c>
      <c r="K59" s="3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" customHeight="1" x14ac:dyDescent="0.25">
      <c r="A60" s="31"/>
      <c r="B60" s="43" t="s">
        <v>50</v>
      </c>
      <c r="C60" s="43" t="s">
        <v>57</v>
      </c>
      <c r="D60" s="49" t="s">
        <v>109</v>
      </c>
      <c r="E60" s="45">
        <v>18000</v>
      </c>
      <c r="F60" s="46">
        <v>0</v>
      </c>
      <c r="G60" s="45">
        <v>0</v>
      </c>
      <c r="H60" s="45" cm="1">
        <f t="array" ref="H60">E60*F60</f>
        <v>0</v>
      </c>
      <c r="I60" s="45" cm="1">
        <f t="array" ref="I60">E60-H60</f>
        <v>18000</v>
      </c>
      <c r="J60" s="45" cm="1">
        <f t="array" ref="J60">H60-G60</f>
        <v>0</v>
      </c>
      <c r="K60" s="3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" customHeight="1" x14ac:dyDescent="0.25">
      <c r="A61" s="31"/>
      <c r="B61" s="43" t="s">
        <v>53</v>
      </c>
      <c r="C61" s="43" t="s">
        <v>57</v>
      </c>
      <c r="D61" s="49" t="s">
        <v>109</v>
      </c>
      <c r="E61" s="45">
        <v>7000</v>
      </c>
      <c r="F61" s="46">
        <v>0</v>
      </c>
      <c r="G61" s="45">
        <v>0</v>
      </c>
      <c r="H61" s="45" cm="1">
        <f t="array" ref="H61">E61*F61</f>
        <v>0</v>
      </c>
      <c r="I61" s="45" cm="1">
        <f t="array" ref="I61">E61-H61</f>
        <v>7000</v>
      </c>
      <c r="J61" s="45" cm="1">
        <f t="array" ref="J61">H61-G61</f>
        <v>0</v>
      </c>
      <c r="K61" s="3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" customHeight="1" x14ac:dyDescent="0.25">
      <c r="A62" s="31"/>
      <c r="B62" s="43" t="s">
        <v>50</v>
      </c>
      <c r="C62" s="43" t="s">
        <v>57</v>
      </c>
      <c r="D62" s="49" t="s">
        <v>110</v>
      </c>
      <c r="E62" s="45">
        <v>9000</v>
      </c>
      <c r="F62" s="46">
        <v>0</v>
      </c>
      <c r="G62" s="45">
        <v>0</v>
      </c>
      <c r="H62" s="45" cm="1">
        <f t="array" ref="H62">E62*F62</f>
        <v>0</v>
      </c>
      <c r="I62" s="45" cm="1">
        <f t="array" ref="I62">E62-H62</f>
        <v>9000</v>
      </c>
      <c r="J62" s="45" cm="1">
        <f t="array" ref="J62">H62-G62</f>
        <v>0</v>
      </c>
      <c r="K62" s="3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" customHeight="1" x14ac:dyDescent="0.25">
      <c r="A63" s="31"/>
      <c r="B63" s="43" t="s">
        <v>53</v>
      </c>
      <c r="C63" s="43" t="s">
        <v>57</v>
      </c>
      <c r="D63" s="49" t="s">
        <v>110</v>
      </c>
      <c r="E63" s="45">
        <v>6000</v>
      </c>
      <c r="F63" s="46">
        <v>0</v>
      </c>
      <c r="G63" s="45">
        <v>0</v>
      </c>
      <c r="H63" s="45" cm="1">
        <f t="array" ref="H63">E63*F63</f>
        <v>0</v>
      </c>
      <c r="I63" s="45" cm="1">
        <f t="array" ref="I63">E63-H63</f>
        <v>6000</v>
      </c>
      <c r="J63" s="45" cm="1">
        <f t="array" ref="J63">H63-G63</f>
        <v>0</v>
      </c>
      <c r="K63" s="3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" customHeight="1" x14ac:dyDescent="0.25">
      <c r="A64" s="31"/>
      <c r="B64" s="43" t="s">
        <v>50</v>
      </c>
      <c r="C64" s="43" t="s">
        <v>57</v>
      </c>
      <c r="D64" s="49" t="s">
        <v>111</v>
      </c>
      <c r="E64" s="45">
        <v>13500</v>
      </c>
      <c r="F64" s="46">
        <v>0</v>
      </c>
      <c r="G64" s="45">
        <v>0</v>
      </c>
      <c r="H64" s="45" cm="1">
        <f t="array" ref="H64">E64*F64</f>
        <v>0</v>
      </c>
      <c r="I64" s="45" cm="1">
        <f t="array" ref="I64">E64-H64</f>
        <v>13500</v>
      </c>
      <c r="J64" s="45" cm="1">
        <f t="array" ref="J64">H64-G64</f>
        <v>0</v>
      </c>
      <c r="K64" s="3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" customHeight="1" x14ac:dyDescent="0.25">
      <c r="A65" s="31"/>
      <c r="B65" s="43" t="s">
        <v>53</v>
      </c>
      <c r="C65" s="43" t="s">
        <v>57</v>
      </c>
      <c r="D65" s="49" t="s">
        <v>111</v>
      </c>
      <c r="E65" s="45">
        <v>3500</v>
      </c>
      <c r="F65" s="46">
        <v>0</v>
      </c>
      <c r="G65" s="45">
        <v>0</v>
      </c>
      <c r="H65" s="45" cm="1">
        <f t="array" ref="H65">E65*F65</f>
        <v>0</v>
      </c>
      <c r="I65" s="45" cm="1">
        <f t="array" ref="I65">E65-H65</f>
        <v>3500</v>
      </c>
      <c r="J65" s="45" cm="1">
        <f t="array" ref="J65">H65-G65</f>
        <v>0</v>
      </c>
      <c r="K65" s="3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" customHeight="1" x14ac:dyDescent="0.25">
      <c r="A66" s="31"/>
      <c r="B66" s="43" t="s">
        <v>50</v>
      </c>
      <c r="C66" s="43" t="s">
        <v>57</v>
      </c>
      <c r="D66" s="49" t="s">
        <v>112</v>
      </c>
      <c r="E66" s="45">
        <v>13500</v>
      </c>
      <c r="F66" s="46">
        <v>0</v>
      </c>
      <c r="G66" s="45">
        <v>0</v>
      </c>
      <c r="H66" s="45" cm="1">
        <f t="array" ref="H66">E66*F66</f>
        <v>0</v>
      </c>
      <c r="I66" s="45" cm="1">
        <f t="array" ref="I66">E66-H66</f>
        <v>13500</v>
      </c>
      <c r="J66" s="45" cm="1">
        <f t="array" ref="J66">H66-G66</f>
        <v>0</v>
      </c>
      <c r="K66" s="3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" customHeight="1" x14ac:dyDescent="0.25">
      <c r="A67" s="31"/>
      <c r="B67" s="43" t="s">
        <v>53</v>
      </c>
      <c r="C67" s="43" t="s">
        <v>57</v>
      </c>
      <c r="D67" s="49" t="s">
        <v>112</v>
      </c>
      <c r="E67" s="45">
        <v>3500</v>
      </c>
      <c r="F67" s="46">
        <v>0</v>
      </c>
      <c r="G67" s="45">
        <v>0</v>
      </c>
      <c r="H67" s="45" cm="1">
        <f t="array" ref="H67">E67*F67</f>
        <v>0</v>
      </c>
      <c r="I67" s="45" cm="1">
        <f t="array" ref="I67">E67-H67</f>
        <v>3500</v>
      </c>
      <c r="J67" s="45" cm="1">
        <f t="array" ref="J67">H67-G67</f>
        <v>0</v>
      </c>
      <c r="K67" s="3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" customHeight="1" x14ac:dyDescent="0.25">
      <c r="A68" s="31"/>
      <c r="B68" s="43" t="s">
        <v>50</v>
      </c>
      <c r="C68" s="43" t="s">
        <v>57</v>
      </c>
      <c r="D68" s="49" t="s">
        <v>113</v>
      </c>
      <c r="E68" s="45">
        <v>28800</v>
      </c>
      <c r="F68" s="46">
        <v>0</v>
      </c>
      <c r="G68" s="45">
        <v>0</v>
      </c>
      <c r="H68" s="45" cm="1">
        <f t="array" ref="H68">E68*F68</f>
        <v>0</v>
      </c>
      <c r="I68" s="45" cm="1">
        <f t="array" ref="I68">E68-H68</f>
        <v>28800</v>
      </c>
      <c r="J68" s="45" cm="1">
        <f t="array" ref="J68">H68-G68</f>
        <v>0</v>
      </c>
      <c r="K68" s="3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" customHeight="1" x14ac:dyDescent="0.25">
      <c r="A69" s="31"/>
      <c r="B69" s="43" t="s">
        <v>53</v>
      </c>
      <c r="C69" s="43" t="s">
        <v>57</v>
      </c>
      <c r="D69" s="49" t="s">
        <v>113</v>
      </c>
      <c r="E69" s="45">
        <v>13200</v>
      </c>
      <c r="F69" s="46">
        <v>0</v>
      </c>
      <c r="G69" s="45">
        <v>0</v>
      </c>
      <c r="H69" s="45" cm="1">
        <f t="array" ref="H69">E69*F69</f>
        <v>0</v>
      </c>
      <c r="I69" s="45" cm="1">
        <f t="array" ref="I69">E69-H69</f>
        <v>13200</v>
      </c>
      <c r="J69" s="45" cm="1">
        <f t="array" ref="J69">H69-G69</f>
        <v>0</v>
      </c>
      <c r="K69" s="3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" customHeight="1" x14ac:dyDescent="0.25">
      <c r="A70" s="31"/>
      <c r="B70" s="43" t="s">
        <v>50</v>
      </c>
      <c r="C70" s="43" t="s">
        <v>57</v>
      </c>
      <c r="D70" s="49" t="s">
        <v>114</v>
      </c>
      <c r="E70" s="45">
        <v>16200</v>
      </c>
      <c r="F70" s="46">
        <v>0</v>
      </c>
      <c r="G70" s="45">
        <v>0</v>
      </c>
      <c r="H70" s="45" cm="1">
        <f t="array" ref="H70">E70*F70</f>
        <v>0</v>
      </c>
      <c r="I70" s="45" cm="1">
        <f t="array" ref="I70">E70-H70</f>
        <v>16200</v>
      </c>
      <c r="J70" s="45" cm="1">
        <f t="array" ref="J70">H70-G70</f>
        <v>0</v>
      </c>
      <c r="K70" s="3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" customHeight="1" x14ac:dyDescent="0.25">
      <c r="A71" s="31"/>
      <c r="B71" s="43" t="s">
        <v>53</v>
      </c>
      <c r="C71" s="43" t="s">
        <v>57</v>
      </c>
      <c r="D71" s="49" t="s">
        <v>114</v>
      </c>
      <c r="E71" s="45">
        <v>6800</v>
      </c>
      <c r="F71" s="46">
        <v>0</v>
      </c>
      <c r="G71" s="45">
        <v>0</v>
      </c>
      <c r="H71" s="45" cm="1">
        <f t="array" ref="H71">E71*F71</f>
        <v>0</v>
      </c>
      <c r="I71" s="45" cm="1">
        <f t="array" ref="I71">E71-H71</f>
        <v>6800</v>
      </c>
      <c r="J71" s="45" cm="1">
        <f t="array" ref="J71">H71-G71</f>
        <v>0</v>
      </c>
      <c r="K71" s="3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" customHeight="1" x14ac:dyDescent="0.25">
      <c r="A72" s="31"/>
      <c r="B72" s="43" t="s">
        <v>50</v>
      </c>
      <c r="C72" s="43" t="s">
        <v>57</v>
      </c>
      <c r="D72" s="49" t="s">
        <v>115</v>
      </c>
      <c r="E72" s="45">
        <v>9000</v>
      </c>
      <c r="F72" s="46">
        <v>0</v>
      </c>
      <c r="G72" s="45">
        <v>0</v>
      </c>
      <c r="H72" s="45" cm="1">
        <f t="array" ref="H72">E72*F72</f>
        <v>0</v>
      </c>
      <c r="I72" s="45" cm="1">
        <f t="array" ref="I72">E72-H72</f>
        <v>9000</v>
      </c>
      <c r="J72" s="45" cm="1">
        <f t="array" ref="J72">H72-G72</f>
        <v>0</v>
      </c>
      <c r="K72" s="3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" customHeight="1" x14ac:dyDescent="0.25">
      <c r="A73" s="31"/>
      <c r="B73" s="43" t="s">
        <v>53</v>
      </c>
      <c r="C73" s="43" t="s">
        <v>57</v>
      </c>
      <c r="D73" s="49" t="s">
        <v>115</v>
      </c>
      <c r="E73" s="45">
        <v>6000</v>
      </c>
      <c r="F73" s="46">
        <v>0</v>
      </c>
      <c r="G73" s="45">
        <v>0</v>
      </c>
      <c r="H73" s="45" cm="1">
        <f t="array" ref="H73">E73*F73</f>
        <v>0</v>
      </c>
      <c r="I73" s="45" cm="1">
        <f t="array" ref="I73">E73-H73</f>
        <v>6000</v>
      </c>
      <c r="J73" s="45" cm="1">
        <f t="array" ref="J73">H73-G73</f>
        <v>0</v>
      </c>
      <c r="K73" s="3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" customHeight="1" x14ac:dyDescent="0.25">
      <c r="A74" s="31"/>
      <c r="B74" s="43" t="s">
        <v>50</v>
      </c>
      <c r="C74" s="43" t="s">
        <v>57</v>
      </c>
      <c r="D74" s="49" t="s">
        <v>116</v>
      </c>
      <c r="E74" s="45">
        <v>13500</v>
      </c>
      <c r="F74" s="46">
        <v>0</v>
      </c>
      <c r="G74" s="45">
        <v>0</v>
      </c>
      <c r="H74" s="45" cm="1">
        <f t="array" ref="H74">E74*F74</f>
        <v>0</v>
      </c>
      <c r="I74" s="45" cm="1">
        <f t="array" ref="I74">E74-H74</f>
        <v>13500</v>
      </c>
      <c r="J74" s="45" cm="1">
        <f t="array" ref="J74">H74-G74</f>
        <v>0</v>
      </c>
      <c r="K74" s="3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" customHeight="1" x14ac:dyDescent="0.25">
      <c r="A75" s="31"/>
      <c r="B75" s="43" t="s">
        <v>53</v>
      </c>
      <c r="C75" s="43" t="s">
        <v>57</v>
      </c>
      <c r="D75" s="49" t="s">
        <v>116</v>
      </c>
      <c r="E75" s="45">
        <v>3500</v>
      </c>
      <c r="F75" s="46">
        <v>0</v>
      </c>
      <c r="G75" s="45">
        <v>0</v>
      </c>
      <c r="H75" s="45" cm="1">
        <f t="array" ref="H75">E75*F75</f>
        <v>0</v>
      </c>
      <c r="I75" s="45" cm="1">
        <f t="array" ref="I75">E75-H75</f>
        <v>3500</v>
      </c>
      <c r="J75" s="45" cm="1">
        <f t="array" ref="J75">H75-G75</f>
        <v>0</v>
      </c>
      <c r="K75" s="3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" customHeight="1" x14ac:dyDescent="0.25">
      <c r="A76" s="31"/>
      <c r="B76" s="43" t="s">
        <v>50</v>
      </c>
      <c r="C76" s="43" t="s">
        <v>57</v>
      </c>
      <c r="D76" s="49" t="s">
        <v>117</v>
      </c>
      <c r="E76" s="45">
        <v>13500</v>
      </c>
      <c r="F76" s="46">
        <v>0</v>
      </c>
      <c r="G76" s="45">
        <v>0</v>
      </c>
      <c r="H76" s="45" cm="1">
        <f t="array" ref="H76">E76*F76</f>
        <v>0</v>
      </c>
      <c r="I76" s="45" cm="1">
        <f t="array" ref="I76">E76-H76</f>
        <v>13500</v>
      </c>
      <c r="J76" s="45" cm="1">
        <f t="array" ref="J76">H76-G76</f>
        <v>0</v>
      </c>
      <c r="K76" s="3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" customHeight="1" x14ac:dyDescent="0.25">
      <c r="A77" s="31"/>
      <c r="B77" s="43" t="s">
        <v>53</v>
      </c>
      <c r="C77" s="43" t="s">
        <v>57</v>
      </c>
      <c r="D77" s="49" t="s">
        <v>117</v>
      </c>
      <c r="E77" s="45">
        <v>3500</v>
      </c>
      <c r="F77" s="46">
        <v>0</v>
      </c>
      <c r="G77" s="45">
        <v>0</v>
      </c>
      <c r="H77" s="45" cm="1">
        <f t="array" ref="H77">E77*F77</f>
        <v>0</v>
      </c>
      <c r="I77" s="45" cm="1">
        <f t="array" ref="I77">E77-H77</f>
        <v>3500</v>
      </c>
      <c r="J77" s="45" cm="1">
        <f t="array" ref="J77">H77-G77</f>
        <v>0</v>
      </c>
      <c r="K77" s="3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" customHeight="1" x14ac:dyDescent="0.25">
      <c r="A78" s="31"/>
      <c r="B78" s="43" t="s">
        <v>50</v>
      </c>
      <c r="C78" s="43" t="s">
        <v>57</v>
      </c>
      <c r="D78" s="49" t="s">
        <v>118</v>
      </c>
      <c r="E78" s="45">
        <v>18000</v>
      </c>
      <c r="F78" s="46">
        <v>0</v>
      </c>
      <c r="G78" s="45">
        <v>0</v>
      </c>
      <c r="H78" s="45" cm="1">
        <f t="array" ref="H78">E78*F78</f>
        <v>0</v>
      </c>
      <c r="I78" s="45" cm="1">
        <f t="array" ref="I78">E78-H78</f>
        <v>18000</v>
      </c>
      <c r="J78" s="45" cm="1">
        <f t="array" ref="J78">H78-G78</f>
        <v>0</v>
      </c>
      <c r="K78" s="3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" customHeight="1" x14ac:dyDescent="0.25">
      <c r="A79" s="31"/>
      <c r="B79" s="43" t="s">
        <v>53</v>
      </c>
      <c r="C79" s="43" t="s">
        <v>57</v>
      </c>
      <c r="D79" s="49" t="s">
        <v>118</v>
      </c>
      <c r="E79" s="45">
        <v>4500</v>
      </c>
      <c r="F79" s="46">
        <v>0</v>
      </c>
      <c r="G79" s="45">
        <v>0</v>
      </c>
      <c r="H79" s="45" cm="1">
        <f t="array" ref="H79">E79*F79</f>
        <v>0</v>
      </c>
      <c r="I79" s="45" cm="1">
        <f t="array" ref="I79">E79-H79</f>
        <v>4500</v>
      </c>
      <c r="J79" s="45" cm="1">
        <f t="array" ref="J79">H79-G79</f>
        <v>0</v>
      </c>
      <c r="K79" s="3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" customHeight="1" x14ac:dyDescent="0.25">
      <c r="A80" s="31"/>
      <c r="B80" s="42"/>
      <c r="C80" s="108"/>
      <c r="D80" s="109" t="s">
        <v>119</v>
      </c>
      <c r="E80" s="110" cm="1">
        <f t="array" ref="E80">SUM(E16:E79)</f>
        <v>880000</v>
      </c>
      <c r="F80" s="63" cm="1">
        <f t="array" ref="F80">H80/E80</f>
        <v>0</v>
      </c>
      <c r="G80" s="62" cm="1">
        <f t="array" ref="G80">SUM(G16:G79)</f>
        <v>0</v>
      </c>
      <c r="H80" s="62" cm="1">
        <f t="array" ref="H80">SUM(H16:H79)</f>
        <v>0</v>
      </c>
      <c r="I80" s="62" cm="1">
        <f t="array" ref="I80">SUM(I16:I79)</f>
        <v>880000</v>
      </c>
      <c r="J80" s="62" cm="1">
        <f t="array" ref="J80">SUM(J16:J79)</f>
        <v>0</v>
      </c>
      <c r="K80" s="3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" customHeight="1" x14ac:dyDescent="0.25">
      <c r="A81" s="31"/>
      <c r="B81" s="65"/>
      <c r="C81" s="65"/>
      <c r="D81" s="66"/>
      <c r="E81" s="67"/>
      <c r="F81" s="68"/>
      <c r="G81" s="67"/>
      <c r="H81" s="67"/>
      <c r="I81" s="67"/>
      <c r="J81" s="67"/>
      <c r="K81" s="3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" customHeight="1" x14ac:dyDescent="0.25">
      <c r="A82" s="31"/>
      <c r="B82" s="64"/>
      <c r="C82" s="111"/>
      <c r="D82" s="112"/>
      <c r="E82" s="113"/>
      <c r="F82" s="114"/>
      <c r="G82" s="113"/>
      <c r="H82" s="113"/>
      <c r="I82" s="113"/>
      <c r="J82" s="113"/>
      <c r="K82" s="3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5" customHeight="1" x14ac:dyDescent="0.25">
      <c r="A83" s="31"/>
      <c r="B83" s="115"/>
      <c r="C83" s="115"/>
      <c r="D83" s="116" t="s">
        <v>120</v>
      </c>
      <c r="E83" s="117" cm="1">
        <f t="array" ref="E83">SUM(E14+E80)</f>
        <v>996000</v>
      </c>
      <c r="F83" s="118" cm="1">
        <f t="array" ref="F83">H83/E83</f>
        <v>0</v>
      </c>
      <c r="G83" s="117" cm="1">
        <f t="array" ref="G83">G80+G14</f>
        <v>0</v>
      </c>
      <c r="H83" s="117" cm="1">
        <f t="array" ref="H83">SUM(H14+H80)</f>
        <v>0</v>
      </c>
      <c r="I83" s="117" cm="1">
        <f t="array" ref="I83">SUM(I14+I80)</f>
        <v>996000</v>
      </c>
      <c r="J83" s="117" cm="1">
        <f t="array" ref="J83">SUM(J14+J80)</f>
        <v>0</v>
      </c>
      <c r="K83" s="3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" customHeight="1" x14ac:dyDescent="0.25">
      <c r="A84" s="2"/>
      <c r="B84" s="13"/>
      <c r="C84" s="13"/>
      <c r="D84" s="119"/>
      <c r="E84" s="120"/>
      <c r="F84" s="121"/>
      <c r="G84" s="121"/>
      <c r="H84" s="121"/>
      <c r="I84" s="25"/>
      <c r="J84" s="2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" customHeight="1" x14ac:dyDescent="0.25">
      <c r="A85" s="2"/>
      <c r="B85" s="17"/>
      <c r="C85" s="17"/>
      <c r="D85" s="122"/>
      <c r="E85" s="123"/>
      <c r="F85" s="23"/>
      <c r="G85" s="23"/>
      <c r="H85" s="23"/>
      <c r="I85" s="124"/>
      <c r="J85" s="12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.65" customHeight="1" x14ac:dyDescent="0.25">
      <c r="A86" s="2"/>
      <c r="B86" s="2"/>
      <c r="C86" s="2"/>
      <c r="D86" s="10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.6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.65" customHeight="1" x14ac:dyDescent="0.25">
      <c r="A88" s="2"/>
      <c r="B88" s="2"/>
      <c r="C88" s="2"/>
      <c r="D88" s="10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.65" customHeight="1" x14ac:dyDescent="0.25">
      <c r="A89" s="2"/>
      <c r="B89" s="2"/>
      <c r="C89" s="2"/>
      <c r="D89" s="2"/>
      <c r="E89" s="10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.6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.6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.6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.6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.6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.6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.6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.6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.6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.6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.6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.6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.6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.6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.6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.6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.6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.6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.6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.6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.6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.6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.6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.6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.6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.6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.6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.6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.6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.6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.6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.6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.65" customHeight="1" x14ac:dyDescent="0.25">
      <c r="A122" s="2"/>
      <c r="B122" s="125">
        <v>11250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.65" customHeight="1" x14ac:dyDescent="0.25">
      <c r="A123" s="2"/>
      <c r="B123" s="126" t="s">
        <v>121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.65" customHeight="1" x14ac:dyDescent="0.25">
      <c r="A124" s="2"/>
      <c r="B124" s="125">
        <v>450000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.65" customHeight="1" x14ac:dyDescent="0.25">
      <c r="A125" s="2"/>
      <c r="B125" s="127" t="s">
        <v>122</v>
      </c>
      <c r="C125" s="128"/>
      <c r="D125" s="127" t="s">
        <v>53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.65" customHeight="1" x14ac:dyDescent="0.25">
      <c r="A126" s="2"/>
      <c r="B126" s="129" cm="1">
        <f t="array" ref="B126">B124*81%</f>
        <v>364500</v>
      </c>
      <c r="C126" s="128"/>
      <c r="D126" s="129" cm="1">
        <f t="array" ref="D126">B124*15%</f>
        <v>67500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.6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.6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.6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.6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.65" customHeight="1" x14ac:dyDescent="0.25">
      <c r="A131" s="2"/>
      <c r="B131" s="2"/>
      <c r="C131" s="2"/>
      <c r="D131" s="125" cm="1">
        <f t="array" ref="D131">100-15-3.82513625</f>
        <v>81.17486375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.65" customHeight="1" x14ac:dyDescent="0.25">
      <c r="A132" s="2"/>
      <c r="B132" s="2"/>
      <c r="C132" s="2"/>
      <c r="D132" s="125">
        <v>81.17486375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</sheetData>
  <mergeCells count="8">
    <mergeCell ref="I3:J4"/>
    <mergeCell ref="L32:M32"/>
    <mergeCell ref="L14:N15"/>
    <mergeCell ref="U33:V33"/>
    <mergeCell ref="M3:O3"/>
    <mergeCell ref="M4:O4"/>
    <mergeCell ref="M5:O5"/>
    <mergeCell ref="P5:Q5"/>
  </mergeCells>
  <pageMargins left="0.25" right="0.25" top="0.75" bottom="0.75" header="0.3" footer="0.3"/>
  <pageSetup paperSize="3" scale="71" fitToHeight="0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Ligas</dc:creator>
  <cp:lastModifiedBy>Peter Ligas</cp:lastModifiedBy>
  <cp:lastPrinted>2026-07-26T12:12:02Z</cp:lastPrinted>
  <dcterms:created xsi:type="dcterms:W3CDTF">2026-07-26T12:09:26Z</dcterms:created>
  <dcterms:modified xsi:type="dcterms:W3CDTF">2026-07-26T12:20:19Z</dcterms:modified>
</cp:coreProperties>
</file>