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elliny-my.sharepoint.com/personal/peter_ellicorp_com/Documents/Documents/Downloads/"/>
    </mc:Choice>
  </mc:AlternateContent>
  <xr:revisionPtr revIDLastSave="407" documentId="11_10B1ED039746F4CBFA05713803F394F64F3A2F69" xr6:coauthVersionLast="47" xr6:coauthVersionMax="47" xr10:uidLastSave="{36A9CDF5-311C-488B-A19D-A81F8DBDAB87}"/>
  <bookViews>
    <workbookView minimized="1" xWindow="41120" yWindow="4270" windowWidth="28800" windowHeight="15370" xr2:uid="{00000000-000D-0000-FFFF-FFFF00000000}"/>
  </bookViews>
  <sheets>
    <sheet name="REQ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1" i="1" l="1" a="1"/>
  <c r="D131" i="1" s="1"/>
  <c r="D126" i="1" a="1"/>
  <c r="D126" i="1" s="1"/>
  <c r="B126" i="1" a="1"/>
  <c r="B126" i="1" s="1"/>
  <c r="G80" i="1" a="1"/>
  <c r="G80" i="1" s="1"/>
  <c r="E80" i="1" a="1"/>
  <c r="E80" i="1" s="1"/>
  <c r="H79" i="1" a="1"/>
  <c r="H79" i="1" s="1"/>
  <c r="H78" i="1" a="1"/>
  <c r="H78" i="1" s="1"/>
  <c r="H77" i="1" a="1"/>
  <c r="H77" i="1" s="1"/>
  <c r="H76" i="1" a="1"/>
  <c r="H76" i="1" s="1"/>
  <c r="H75" i="1" a="1"/>
  <c r="H75" i="1" s="1"/>
  <c r="H74" i="1" a="1"/>
  <c r="H74" i="1" s="1"/>
  <c r="H73" i="1" a="1"/>
  <c r="H73" i="1" s="1"/>
  <c r="H72" i="1" a="1"/>
  <c r="H72" i="1" s="1"/>
  <c r="H71" i="1" a="1"/>
  <c r="H71" i="1" s="1"/>
  <c r="H70" i="1" a="1"/>
  <c r="H70" i="1" s="1"/>
  <c r="H69" i="1" a="1"/>
  <c r="H69" i="1" s="1"/>
  <c r="H68" i="1" a="1"/>
  <c r="H68" i="1" s="1"/>
  <c r="H67" i="1" a="1"/>
  <c r="H67" i="1" s="1"/>
  <c r="H66" i="1" a="1"/>
  <c r="H66" i="1" s="1"/>
  <c r="H65" i="1" a="1"/>
  <c r="H65" i="1" s="1"/>
  <c r="H64" i="1" a="1"/>
  <c r="H64" i="1" s="1"/>
  <c r="H63" i="1" a="1"/>
  <c r="H63" i="1" s="1"/>
  <c r="H62" i="1" a="1"/>
  <c r="H62" i="1" s="1"/>
  <c r="H61" i="1" a="1"/>
  <c r="H61" i="1" s="1"/>
  <c r="H60" i="1" a="1"/>
  <c r="H60" i="1" s="1"/>
  <c r="H59" i="1" a="1"/>
  <c r="H59" i="1" s="1"/>
  <c r="H58" i="1" a="1"/>
  <c r="H58" i="1" s="1"/>
  <c r="H57" i="1" a="1"/>
  <c r="H57" i="1" s="1"/>
  <c r="H56" i="1" a="1"/>
  <c r="H56" i="1" s="1"/>
  <c r="H55" i="1" a="1"/>
  <c r="H55" i="1" s="1"/>
  <c r="H54" i="1" a="1"/>
  <c r="H54" i="1" s="1"/>
  <c r="H53" i="1" a="1"/>
  <c r="H53" i="1" s="1"/>
  <c r="H52" i="1" a="1"/>
  <c r="H52" i="1" s="1"/>
  <c r="H51" i="1" a="1"/>
  <c r="H51" i="1" s="1"/>
  <c r="H50" i="1" a="1"/>
  <c r="H50" i="1" s="1"/>
  <c r="H49" i="1" a="1"/>
  <c r="H49" i="1" s="1"/>
  <c r="H48" i="1" a="1"/>
  <c r="H48" i="1" s="1"/>
  <c r="H47" i="1" a="1"/>
  <c r="H47" i="1" s="1"/>
  <c r="H46" i="1" a="1"/>
  <c r="H46" i="1" s="1"/>
  <c r="H45" i="1" a="1"/>
  <c r="H45" i="1" s="1"/>
  <c r="H44" i="1" a="1"/>
  <c r="H44" i="1" s="1"/>
  <c r="H43" i="1" a="1"/>
  <c r="H43" i="1" s="1"/>
  <c r="H42" i="1" a="1"/>
  <c r="H42" i="1" s="1"/>
  <c r="H41" i="1" a="1"/>
  <c r="H41" i="1" s="1"/>
  <c r="H40" i="1" a="1"/>
  <c r="H40" i="1" s="1"/>
  <c r="H39" i="1" a="1"/>
  <c r="H39" i="1" s="1"/>
  <c r="H38" i="1" a="1"/>
  <c r="H38" i="1" s="1"/>
  <c r="H37" i="1" a="1"/>
  <c r="H37" i="1" s="1"/>
  <c r="H36" i="1" a="1"/>
  <c r="H36" i="1" s="1"/>
  <c r="H35" i="1" a="1"/>
  <c r="H35" i="1" s="1"/>
  <c r="H34" i="1" a="1"/>
  <c r="H34" i="1" s="1"/>
  <c r="H33" i="1" a="1"/>
  <c r="H33" i="1" s="1"/>
  <c r="H32" i="1" a="1"/>
  <c r="H32" i="1" s="1"/>
  <c r="O31" i="1" a="1"/>
  <c r="O31" i="1" s="1"/>
  <c r="N31" i="1" a="1"/>
  <c r="N31" i="1" s="1"/>
  <c r="N32" i="1" s="1" a="1"/>
  <c r="N32" i="1" s="1"/>
  <c r="V17" i="1" s="1" a="1"/>
  <c r="V17" i="1" s="1"/>
  <c r="H31" i="1" a="1"/>
  <c r="H31" i="1" s="1"/>
  <c r="H30" i="1" a="1"/>
  <c r="H30" i="1" s="1"/>
  <c r="H29" i="1" a="1"/>
  <c r="H29" i="1" s="1"/>
  <c r="H28" i="1" a="1"/>
  <c r="H28" i="1" s="1"/>
  <c r="H27" i="1" a="1"/>
  <c r="H27" i="1" s="1"/>
  <c r="H26" i="1" a="1"/>
  <c r="H26" i="1" s="1"/>
  <c r="H25" i="1" a="1"/>
  <c r="H25" i="1" s="1"/>
  <c r="H24" i="1" a="1"/>
  <c r="H24" i="1" s="1"/>
  <c r="H23" i="1" a="1"/>
  <c r="H23" i="1" s="1"/>
  <c r="H22" i="1" a="1"/>
  <c r="H22" i="1" s="1"/>
  <c r="H21" i="1" a="1"/>
  <c r="H21" i="1" s="1"/>
  <c r="H20" i="1" a="1"/>
  <c r="H20" i="1" s="1"/>
  <c r="H19" i="1" a="1"/>
  <c r="H19" i="1" s="1"/>
  <c r="H18" i="1" a="1"/>
  <c r="H18" i="1" s="1"/>
  <c r="H17" i="1" a="1"/>
  <c r="H17" i="1" s="1"/>
  <c r="H16" i="1" a="1"/>
  <c r="H16" i="1" s="1"/>
  <c r="G14" i="1" a="1"/>
  <c r="G14" i="1" s="1"/>
  <c r="E14" i="1" a="1"/>
  <c r="E14" i="1" s="1"/>
  <c r="H13" i="1" a="1"/>
  <c r="H13" i="1" s="1"/>
  <c r="H12" i="1" a="1"/>
  <c r="H12" i="1" s="1"/>
  <c r="H11" i="1" a="1"/>
  <c r="H11" i="1" s="1"/>
  <c r="H10" i="1" a="1"/>
  <c r="H10" i="1" s="1"/>
  <c r="H9" i="1" a="1"/>
  <c r="H9" i="1" s="1"/>
  <c r="J49" i="1" l="1" a="1"/>
  <c r="J49" i="1" s="1"/>
  <c r="I49" i="1" a="1"/>
  <c r="I49" i="1" s="1"/>
  <c r="J28" i="1" a="1"/>
  <c r="J28" i="1" s="1"/>
  <c r="I28" i="1" a="1"/>
  <c r="I28" i="1" s="1"/>
  <c r="I62" i="1" a="1"/>
  <c r="I62" i="1" s="1"/>
  <c r="J62" i="1" a="1"/>
  <c r="J62" i="1" s="1"/>
  <c r="J17" i="1" a="1"/>
  <c r="J17" i="1" s="1"/>
  <c r="I17" i="1" a="1"/>
  <c r="I17" i="1" s="1"/>
  <c r="J63" i="1" a="1"/>
  <c r="J63" i="1" s="1"/>
  <c r="I63" i="1" a="1"/>
  <c r="I63" i="1" s="1"/>
  <c r="I40" i="1" a="1"/>
  <c r="I40" i="1" s="1"/>
  <c r="J40" i="1" a="1"/>
  <c r="J40" i="1" s="1"/>
  <c r="J65" i="1" a="1"/>
  <c r="J65" i="1" s="1"/>
  <c r="I65" i="1" a="1"/>
  <c r="I65" i="1" s="1"/>
  <c r="J27" i="1" a="1"/>
  <c r="J27" i="1" s="1"/>
  <c r="I27" i="1" a="1"/>
  <c r="I27" i="1" s="1"/>
  <c r="J61" i="1" a="1"/>
  <c r="J61" i="1" s="1"/>
  <c r="I61" i="1" a="1"/>
  <c r="I61" i="1" s="1"/>
  <c r="J16" i="1" a="1"/>
  <c r="J16" i="1" s="1"/>
  <c r="H80" i="1" a="1"/>
  <c r="H80" i="1" s="1"/>
  <c r="F80" i="1" s="1" a="1"/>
  <c r="F80" i="1" s="1"/>
  <c r="I16" i="1" a="1"/>
  <c r="I16" i="1" s="1"/>
  <c r="I50" i="1" a="1"/>
  <c r="I50" i="1" s="1"/>
  <c r="J50" i="1" a="1"/>
  <c r="J50" i="1" s="1"/>
  <c r="I74" i="1" a="1"/>
  <c r="I74" i="1" s="1"/>
  <c r="J74" i="1" a="1"/>
  <c r="J74" i="1" s="1"/>
  <c r="J29" i="1" a="1"/>
  <c r="J29" i="1" s="1"/>
  <c r="I29" i="1" a="1"/>
  <c r="I29" i="1" s="1"/>
  <c r="J51" i="1" a="1"/>
  <c r="J51" i="1" s="1"/>
  <c r="I51" i="1" a="1"/>
  <c r="I51" i="1" s="1"/>
  <c r="I76" i="1" a="1"/>
  <c r="I76" i="1" s="1"/>
  <c r="J76" i="1" a="1"/>
  <c r="J76" i="1" s="1"/>
  <c r="J37" i="1" a="1"/>
  <c r="J37" i="1" s="1"/>
  <c r="I37" i="1" a="1"/>
  <c r="I37" i="1" s="1"/>
  <c r="J73" i="1" a="1"/>
  <c r="J73" i="1" s="1"/>
  <c r="I73" i="1" a="1"/>
  <c r="I73" i="1" s="1"/>
  <c r="I38" i="1" a="1"/>
  <c r="I38" i="1" s="1"/>
  <c r="J38" i="1" a="1"/>
  <c r="J38" i="1" s="1"/>
  <c r="J39" i="1" a="1"/>
  <c r="J39" i="1" s="1"/>
  <c r="I39" i="1" a="1"/>
  <c r="I39" i="1" s="1"/>
  <c r="J75" i="1" a="1"/>
  <c r="J75" i="1" s="1"/>
  <c r="I75" i="1" a="1"/>
  <c r="I75" i="1" s="1"/>
  <c r="J18" i="1" a="1"/>
  <c r="J18" i="1" s="1"/>
  <c r="I18" i="1" a="1"/>
  <c r="I18" i="1" s="1"/>
  <c r="J30" i="1" a="1"/>
  <c r="J30" i="1" s="1"/>
  <c r="I30" i="1" a="1"/>
  <c r="I30" i="1" s="1"/>
  <c r="I52" i="1" a="1"/>
  <c r="I52" i="1" s="1"/>
  <c r="J52" i="1" a="1"/>
  <c r="J52" i="1" s="1"/>
  <c r="I64" i="1" a="1"/>
  <c r="I64" i="1" s="1"/>
  <c r="J64" i="1" a="1"/>
  <c r="J64" i="1" s="1"/>
  <c r="I19" i="1" a="1"/>
  <c r="I19" i="1" s="1"/>
  <c r="J19" i="1" a="1"/>
  <c r="J19" i="1" s="1"/>
  <c r="J31" i="1" a="1"/>
  <c r="J31" i="1" s="1"/>
  <c r="I31" i="1" a="1"/>
  <c r="I31" i="1" s="1"/>
  <c r="J41" i="1" a="1"/>
  <c r="J41" i="1" s="1"/>
  <c r="I41" i="1" a="1"/>
  <c r="I41" i="1" s="1"/>
  <c r="J53" i="1" a="1"/>
  <c r="J53" i="1" s="1"/>
  <c r="I53" i="1" a="1"/>
  <c r="I53" i="1" s="1"/>
  <c r="J77" i="1" a="1"/>
  <c r="J77" i="1" s="1"/>
  <c r="I77" i="1" a="1"/>
  <c r="I77" i="1" s="1"/>
  <c r="J20" i="1" a="1"/>
  <c r="J20" i="1" s="1"/>
  <c r="I20" i="1" a="1"/>
  <c r="I20" i="1" s="1"/>
  <c r="I42" i="1" a="1"/>
  <c r="I42" i="1" s="1"/>
  <c r="J42" i="1" a="1"/>
  <c r="J42" i="1" s="1"/>
  <c r="I54" i="1" a="1"/>
  <c r="I54" i="1" s="1"/>
  <c r="J54" i="1" a="1"/>
  <c r="J54" i="1" s="1"/>
  <c r="I66" i="1" a="1"/>
  <c r="I66" i="1" s="1"/>
  <c r="J66" i="1" a="1"/>
  <c r="J66" i="1" s="1"/>
  <c r="I78" i="1" a="1"/>
  <c r="I78" i="1" s="1"/>
  <c r="J78" i="1" a="1"/>
  <c r="J78" i="1" s="1"/>
  <c r="J9" i="1" a="1"/>
  <c r="J9" i="1" s="1"/>
  <c r="I9" i="1" a="1"/>
  <c r="I9" i="1" s="1"/>
  <c r="H14" i="1" a="1"/>
  <c r="H14" i="1" s="1"/>
  <c r="J21" i="1" a="1"/>
  <c r="J21" i="1" s="1"/>
  <c r="I21" i="1" a="1"/>
  <c r="I21" i="1" s="1"/>
  <c r="J43" i="1" a="1"/>
  <c r="J43" i="1" s="1"/>
  <c r="I43" i="1" a="1"/>
  <c r="I43" i="1" s="1"/>
  <c r="J55" i="1" a="1"/>
  <c r="J55" i="1" s="1"/>
  <c r="I55" i="1" a="1"/>
  <c r="I55" i="1" s="1"/>
  <c r="J67" i="1" a="1"/>
  <c r="J67" i="1" s="1"/>
  <c r="I67" i="1" a="1"/>
  <c r="I67" i="1" s="1"/>
  <c r="J79" i="1" a="1"/>
  <c r="J79" i="1" s="1"/>
  <c r="I79" i="1" a="1"/>
  <c r="I79" i="1" s="1"/>
  <c r="I10" i="1" a="1"/>
  <c r="I10" i="1" s="1"/>
  <c r="J10" i="1" a="1"/>
  <c r="J10" i="1" s="1"/>
  <c r="J22" i="1" a="1"/>
  <c r="J22" i="1" s="1"/>
  <c r="I22" i="1" a="1"/>
  <c r="I22" i="1" s="1"/>
  <c r="J32" i="1" a="1"/>
  <c r="J32" i="1" s="1"/>
  <c r="I32" i="1" a="1"/>
  <c r="I32" i="1" s="1"/>
  <c r="I44" i="1" a="1"/>
  <c r="I44" i="1" s="1"/>
  <c r="J44" i="1" a="1"/>
  <c r="J44" i="1" s="1"/>
  <c r="I56" i="1" a="1"/>
  <c r="I56" i="1" s="1"/>
  <c r="J56" i="1" a="1"/>
  <c r="J56" i="1" s="1"/>
  <c r="I68" i="1" a="1"/>
  <c r="I68" i="1" s="1"/>
  <c r="J68" i="1" a="1"/>
  <c r="J68" i="1" s="1"/>
  <c r="J11" i="1" a="1"/>
  <c r="J11" i="1" s="1"/>
  <c r="I11" i="1" a="1"/>
  <c r="I11" i="1" s="1"/>
  <c r="J23" i="1" a="1"/>
  <c r="J23" i="1" s="1"/>
  <c r="I23" i="1" a="1"/>
  <c r="I23" i="1" s="1"/>
  <c r="J33" i="1" a="1"/>
  <c r="J33" i="1" s="1"/>
  <c r="I33" i="1" a="1"/>
  <c r="I33" i="1" s="1"/>
  <c r="J45" i="1" a="1"/>
  <c r="J45" i="1" s="1"/>
  <c r="I45" i="1" a="1"/>
  <c r="I45" i="1" s="1"/>
  <c r="J57" i="1" a="1"/>
  <c r="J57" i="1" s="1"/>
  <c r="I57" i="1" a="1"/>
  <c r="I57" i="1" s="1"/>
  <c r="J69" i="1" a="1"/>
  <c r="J69" i="1" s="1"/>
  <c r="I69" i="1" a="1"/>
  <c r="I69" i="1" s="1"/>
  <c r="G83" i="1" a="1"/>
  <c r="G83" i="1" s="1"/>
  <c r="I12" i="1" a="1"/>
  <c r="I12" i="1" s="1"/>
  <c r="J12" i="1" a="1"/>
  <c r="J12" i="1" s="1"/>
  <c r="J24" i="1" a="1"/>
  <c r="J24" i="1" s="1"/>
  <c r="I24" i="1" a="1"/>
  <c r="I24" i="1" s="1"/>
  <c r="I34" i="1" a="1"/>
  <c r="I34" i="1" s="1"/>
  <c r="J34" i="1" a="1"/>
  <c r="J34" i="1" s="1"/>
  <c r="I46" i="1" a="1"/>
  <c r="I46" i="1" s="1"/>
  <c r="J46" i="1" a="1"/>
  <c r="J46" i="1" s="1"/>
  <c r="I58" i="1" a="1"/>
  <c r="I58" i="1" s="1"/>
  <c r="J58" i="1" a="1"/>
  <c r="J58" i="1" s="1"/>
  <c r="I70" i="1" a="1"/>
  <c r="I70" i="1" s="1"/>
  <c r="J70" i="1" a="1"/>
  <c r="J70" i="1" s="1"/>
  <c r="J13" i="1" a="1"/>
  <c r="J13" i="1" s="1"/>
  <c r="I13" i="1" a="1"/>
  <c r="I13" i="1" s="1"/>
  <c r="J25" i="1" a="1"/>
  <c r="J25" i="1" s="1"/>
  <c r="I25" i="1" a="1"/>
  <c r="I25" i="1" s="1"/>
  <c r="J35" i="1" a="1"/>
  <c r="J35" i="1" s="1"/>
  <c r="I35" i="1" a="1"/>
  <c r="I35" i="1" s="1"/>
  <c r="J47" i="1" a="1"/>
  <c r="J47" i="1" s="1"/>
  <c r="I47" i="1" a="1"/>
  <c r="I47" i="1" s="1"/>
  <c r="J59" i="1" a="1"/>
  <c r="J59" i="1" s="1"/>
  <c r="I59" i="1" a="1"/>
  <c r="I59" i="1" s="1"/>
  <c r="J71" i="1" a="1"/>
  <c r="J71" i="1" s="1"/>
  <c r="I71" i="1" a="1"/>
  <c r="I71" i="1" s="1"/>
  <c r="E83" i="1" a="1"/>
  <c r="E83" i="1" s="1"/>
  <c r="V15" i="1" s="1" a="1"/>
  <c r="V15" i="1" s="1"/>
  <c r="V18" i="1" s="1" a="1"/>
  <c r="V18" i="1" s="1"/>
  <c r="I26" i="1" a="1"/>
  <c r="I26" i="1" s="1"/>
  <c r="J26" i="1" a="1"/>
  <c r="J26" i="1" s="1"/>
  <c r="I36" i="1" a="1"/>
  <c r="I36" i="1" s="1"/>
  <c r="J36" i="1" a="1"/>
  <c r="J36" i="1" s="1"/>
  <c r="I48" i="1" a="1"/>
  <c r="I48" i="1" s="1"/>
  <c r="J48" i="1" a="1"/>
  <c r="J48" i="1" s="1"/>
  <c r="I60" i="1" a="1"/>
  <c r="I60" i="1" s="1"/>
  <c r="J60" i="1" a="1"/>
  <c r="J60" i="1" s="1"/>
  <c r="I72" i="1" a="1"/>
  <c r="I72" i="1" s="1"/>
  <c r="J72" i="1" a="1"/>
  <c r="J72" i="1" s="1"/>
  <c r="F14" i="1" l="1" a="1"/>
  <c r="F14" i="1" s="1"/>
  <c r="H83" i="1" a="1"/>
  <c r="H83" i="1" s="1"/>
  <c r="I14" i="1" a="1"/>
  <c r="I14" i="1" s="1"/>
  <c r="I80" i="1" a="1"/>
  <c r="I80" i="1" s="1"/>
  <c r="J14" i="1" a="1"/>
  <c r="J14" i="1" s="1"/>
  <c r="J80" i="1" a="1"/>
  <c r="J80" i="1" s="1"/>
  <c r="J83" i="1" l="1" a="1"/>
  <c r="J83" i="1" s="1"/>
  <c r="I83" i="1" a="1"/>
  <c r="I83" i="1" s="1"/>
  <c r="F83" i="1" a="1"/>
  <c r="F83" i="1" s="1"/>
  <c r="V19" i="1" a="1"/>
  <c r="V19" i="1" s="1"/>
  <c r="T22" i="1" l="1" a="1"/>
  <c r="T22" i="1" s="1"/>
  <c r="V25" i="1" s="1" a="1"/>
  <c r="V25" i="1" s="1"/>
  <c r="V26" i="1" s="1" a="1"/>
  <c r="V26" i="1" s="1"/>
  <c r="V31" i="1" s="1" a="1"/>
  <c r="V31" i="1" s="1"/>
  <c r="V30" i="1" l="1" a="1"/>
  <c r="V3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Ligas</author>
  </authors>
  <commentList>
    <comment ref="E16" authorId="0" shapeId="0" xr:uid="{B9240CC6-F6F5-45D8-87B0-90CE1323408C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Material -10% (was $40,000). $4,000 moved to Labor E17.</t>
        </r>
      </text>
    </comment>
    <comment ref="E17" authorId="0" shapeId="0" xr:uid="{962A433B-9F9D-48F4-93BD-39D9D04617F1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Labor +$4,000 (was $10,000), shifted from Material E16.</t>
        </r>
      </text>
    </comment>
    <comment ref="E18" authorId="0" shapeId="0" xr:uid="{850399AD-B3B6-4E2A-A68B-57F0D1F2809B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Material -10% (was $15,000). $1,500 moved to Labor E19.</t>
        </r>
      </text>
    </comment>
    <comment ref="E19" authorId="0" shapeId="0" xr:uid="{0B995EB3-7FA2-44FB-920F-18C8A907F4F4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Labor +$1,500 (was $2,500), shifted from Material E18.</t>
        </r>
      </text>
    </comment>
    <comment ref="E20" authorId="0" shapeId="0" xr:uid="{A3ACD3E0-5F84-479F-B200-D6FC3FC9C513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Material -10% (was $5,000). $500 moved to Labor E21.</t>
        </r>
      </text>
    </comment>
    <comment ref="E21" authorId="0" shapeId="0" xr:uid="{81119BEE-462D-46FB-BCFB-D221512DA6CA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Labor +$500 (was $1,000), shifted from Material E20.</t>
        </r>
      </text>
    </comment>
    <comment ref="E22" authorId="0" shapeId="0" xr:uid="{6E0DCC95-E747-4B08-A6BA-DE2E53C0433F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Material -10% (was $50,000). $5,000 moved to Labor E23.</t>
        </r>
      </text>
    </comment>
    <comment ref="E23" authorId="0" shapeId="0" xr:uid="{12EA8E8F-A26E-43DD-8EA8-149DBED89C02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Labor +$5,000 (was $5,000), shifted from Material E22.</t>
        </r>
      </text>
    </comment>
    <comment ref="E24" authorId="0" shapeId="0" xr:uid="{4A1EFD9F-01B6-4509-A075-8AB427967902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Material -10% (was $5,000). $500 moved to Labor E25.</t>
        </r>
      </text>
    </comment>
    <comment ref="E25" authorId="0" shapeId="0" xr:uid="{F981821E-04A9-405A-9459-549E0C4F4311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Labor +$500 (was $2,000), shifted from Material E24.</t>
        </r>
      </text>
    </comment>
    <comment ref="E26" authorId="0" shapeId="0" xr:uid="{FB6188C6-988E-4666-9FF6-421AF7D0F366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Material -10% (was $2,000). $200 moved to Labor E27.</t>
        </r>
      </text>
    </comment>
    <comment ref="E27" authorId="0" shapeId="0" xr:uid="{646394C8-BAC0-4F11-B41C-27B62EB793DA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Labor +$200 (was $1,000), shifted from Material E26.</t>
        </r>
      </text>
    </comment>
    <comment ref="E28" authorId="0" shapeId="0" xr:uid="{45880243-9B3B-4B24-996A-742317A88CF8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Material -10% (was $30,000). $3,000 moved to Labor E29.</t>
        </r>
      </text>
    </comment>
    <comment ref="E29" authorId="0" shapeId="0" xr:uid="{C31C5729-E71E-4E0E-8BE2-7B1EA8DF225D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Labor +$3,000 (was $5,000), shifted from Material E28.</t>
        </r>
      </text>
    </comment>
    <comment ref="E30" authorId="0" shapeId="0" xr:uid="{AF385B07-E650-4196-9CE3-703A8A589BCE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Material -10% (was $30,000). $3,000 moved to Labor E31.</t>
        </r>
      </text>
    </comment>
    <comment ref="E31" authorId="0" shapeId="0" xr:uid="{C9DE310A-5846-4754-8854-A542EC97FFAF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Labor +$3,000 (was $8,000), shifted from Material E30.</t>
        </r>
      </text>
    </comment>
    <comment ref="E32" authorId="0" shapeId="0" xr:uid="{7D3D57C8-6AD6-48CA-A433-5F740D964DA7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Material -10% (was $20,000). $2,000 moved to Labor E33.</t>
        </r>
      </text>
    </comment>
    <comment ref="E33" authorId="0" shapeId="0" xr:uid="{5502C2C4-2F57-4B4A-B0CD-321CCFEFD644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Labor +$2,000 (was $8,000), shifted from Material E32.</t>
        </r>
      </text>
    </comment>
    <comment ref="E34" authorId="0" shapeId="0" xr:uid="{6B8380A2-0A70-42C8-B870-C9C7B8D45EDF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Material -10% (was $10,000). $1,000 moved to Labor E35.</t>
        </r>
      </text>
    </comment>
    <comment ref="E35" authorId="0" shapeId="0" xr:uid="{9DEFDD81-B901-4252-9820-610306628B7E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Labor +$1,000 (was $4,000), shifted from Material E34.</t>
        </r>
      </text>
    </comment>
    <comment ref="E36" authorId="0" shapeId="0" xr:uid="{DA3D3764-25C7-49AE-9AB9-9CAC6C79E27F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Material -10% (was $15,000). $1,500 moved to Labor E37.</t>
        </r>
      </text>
    </comment>
    <comment ref="E37" authorId="0" shapeId="0" xr:uid="{0BBE9F9C-A694-4394-8389-F57C7315C5C9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Labor +$1,500 (was $2,500), shifted from Material E36.</t>
        </r>
      </text>
    </comment>
    <comment ref="E38" authorId="0" shapeId="0" xr:uid="{9F0C897A-6D17-42F9-B660-B2A6242CE77A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Material -10% (was $55,000). $5,500 moved to Labor E39.</t>
        </r>
      </text>
    </comment>
    <comment ref="E39" authorId="0" shapeId="0" xr:uid="{1F38C6B3-FC90-4998-AE34-B13D4C0328E7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Labor +$5,500 (was $15,000), shifted from Material E38.</t>
        </r>
      </text>
    </comment>
    <comment ref="E40" authorId="0" shapeId="0" xr:uid="{431CA5A9-C801-42AC-B2B6-30060FE04EE3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Material -10% (was $40,000). $4,000 moved to Labor E41.</t>
        </r>
      </text>
    </comment>
    <comment ref="E41" authorId="0" shapeId="0" xr:uid="{B170BD7A-CAE7-4EE0-BBAF-264BFB825BD5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Labor +$4,000 (was $15,000), shifted from Material E40.</t>
        </r>
      </text>
    </comment>
    <comment ref="E42" authorId="0" shapeId="0" xr:uid="{397EC94E-ED3F-40F8-805B-796560A84C8D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Material -10% (was $20,000). $2,000 moved to Labor E43.</t>
        </r>
      </text>
    </comment>
    <comment ref="E43" authorId="0" shapeId="0" xr:uid="{660C4ADC-8313-4558-9809-9F1B893409D6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Labor +$2,000 (was $5,000), shifted from Material E42.</t>
        </r>
      </text>
    </comment>
    <comment ref="E44" authorId="0" shapeId="0" xr:uid="{90C997C3-1BD2-4627-AF26-9C31BBA945A8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Material -10% (was $10,000). $1,000 moved to Labor E45.</t>
        </r>
      </text>
    </comment>
    <comment ref="E45" authorId="0" shapeId="0" xr:uid="{CFF91388-9EF2-4218-B2B0-FE02EBA54485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Labor +$1,000 (was $2,000), shifted from Material E44.</t>
        </r>
      </text>
    </comment>
    <comment ref="E46" authorId="0" shapeId="0" xr:uid="{A0F6BAEE-310E-4532-A84D-155D9E2423C8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Material -10% (was $15,000). $1,500 moved to Labor E47.</t>
        </r>
      </text>
    </comment>
    <comment ref="E47" authorId="0" shapeId="0" xr:uid="{D5A27AC6-337E-4D89-9408-042C2AD8A74F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Labor +$1,500 (was $2,500), shifted from Material E46.</t>
        </r>
      </text>
    </comment>
    <comment ref="E48" authorId="0" shapeId="0" xr:uid="{C3A74935-5892-4743-B878-E0D69B57A37A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Material -10% (was $55,000). $5,500 moved to Labor E49.</t>
        </r>
      </text>
    </comment>
    <comment ref="E49" authorId="0" shapeId="0" xr:uid="{10AAF928-FFA7-4789-903B-5F19D8D0FFA2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Labor +$5,500 (was $15,000), shifted from Material E48.</t>
        </r>
      </text>
    </comment>
    <comment ref="E50" authorId="0" shapeId="0" xr:uid="{A0D48452-2556-4C64-9DD4-47E543B6CC82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Material -10% (was $35,000). $3,500 moved to Labor E51.</t>
        </r>
      </text>
    </comment>
    <comment ref="E51" authorId="0" shapeId="0" xr:uid="{FAB6C521-2F6D-4C5B-885D-1D03C0F2E27B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Labor +$3,500 (was $10,000), shifted from Material E50.</t>
        </r>
      </text>
    </comment>
    <comment ref="E52" authorId="0" shapeId="0" xr:uid="{AAC1A6C7-046A-4843-990E-E4BC4FA4DE12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Material -10% (was $20,000). $2,000 moved to Labor E53.</t>
        </r>
      </text>
    </comment>
    <comment ref="E53" authorId="0" shapeId="0" xr:uid="{13B0CD08-FD87-4E6A-B612-9384C495B2D7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Labor +$2,000 (was $5,000), shifted from Material E52.</t>
        </r>
      </text>
    </comment>
    <comment ref="E54" authorId="0" shapeId="0" xr:uid="{9409DEEF-C17C-4779-A4C3-52C9EAB07D85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Material -10% (was $15,000). $1,500 moved to Labor E55.</t>
        </r>
      </text>
    </comment>
    <comment ref="E55" authorId="0" shapeId="0" xr:uid="{645A378D-8F2C-4365-BD6A-8EE3274AA131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Labor +$1,500 (was $2,000), shifted from Material E54.</t>
        </r>
      </text>
    </comment>
    <comment ref="E56" authorId="0" shapeId="0" xr:uid="{2F2DF165-BF3C-4950-8285-EE41AE8EBD51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Material -10% (was $15,000). $1,500 moved to Labor E57.</t>
        </r>
      </text>
    </comment>
    <comment ref="E57" authorId="0" shapeId="0" xr:uid="{55A1BF05-D4EB-4124-8BBE-15A3CF068EF0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Labor +$1,500 (was $2,000), shifted from Material E56.</t>
        </r>
      </text>
    </comment>
    <comment ref="E58" authorId="0" shapeId="0" xr:uid="{4965FEDE-4AB8-41E5-87F3-5F82B0E77EEE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Material -10% (was $35,000). $3,500 moved to Labor E59.</t>
        </r>
      </text>
    </comment>
    <comment ref="E59" authorId="0" shapeId="0" xr:uid="{2B2F19B2-FF6C-4162-9F29-21C850170F43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Labor +$3,500 (was $10,000), shifted from Material E58.</t>
        </r>
      </text>
    </comment>
    <comment ref="E60" authorId="0" shapeId="0" xr:uid="{C3A405BA-B235-4276-A3F2-ED9D81C5DDD4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Material -10% (was $20,000). $2,000 moved to Labor E61.</t>
        </r>
      </text>
    </comment>
    <comment ref="E61" authorId="0" shapeId="0" xr:uid="{85BE3ED9-9291-4D72-807D-3A1D75E44783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Labor +$2,000 (was $5,000), shifted from Material E60.</t>
        </r>
      </text>
    </comment>
    <comment ref="E62" authorId="0" shapeId="0" xr:uid="{53536414-F955-4ACF-8646-AC2255BF832F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Material -10% (was $10,000). $1,000 moved to Labor E63.</t>
        </r>
      </text>
    </comment>
    <comment ref="E63" authorId="0" shapeId="0" xr:uid="{A1655F13-2999-417B-BD03-2EF0482DC736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Labor +$1,000 (was $5,000), shifted from Material E62.</t>
        </r>
      </text>
    </comment>
    <comment ref="E64" authorId="0" shapeId="0" xr:uid="{E5B0AD96-124A-4DA1-879C-A14E6842784D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Material -10% (was $15,000). $1,500 moved to Labor E65.</t>
        </r>
      </text>
    </comment>
    <comment ref="E65" authorId="0" shapeId="0" xr:uid="{6F69B57F-0F8E-489F-9222-D4CA0F15ED05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Labor +$1,500 (was $2,000), shifted from Material E64.</t>
        </r>
      </text>
    </comment>
    <comment ref="E66" authorId="0" shapeId="0" xr:uid="{354AEF41-7578-48BE-92AF-7D38B6C3BEE9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Material -10% (was $15,000). $1,500 moved to Labor E67.</t>
        </r>
      </text>
    </comment>
    <comment ref="E67" authorId="0" shapeId="0" xr:uid="{B80A5720-19C4-4473-A3E9-0A725CF10A46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Labor +$1,500 (was $2,000), shifted from Material E66.</t>
        </r>
      </text>
    </comment>
    <comment ref="E68" authorId="0" shapeId="0" xr:uid="{D78047D7-A2C4-4BC1-BB4C-658C9A9A5D02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Material -10% (was $32,000). $3,200 moved to Labor E69.</t>
        </r>
      </text>
    </comment>
    <comment ref="E69" authorId="0" shapeId="0" xr:uid="{C565B00E-EDC5-46C2-AA65-2AAE190E4176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Labor +$3,200 (was $10,000), shifted from Material E68.</t>
        </r>
      </text>
    </comment>
    <comment ref="E70" authorId="0" shapeId="0" xr:uid="{D2D03A48-21E5-40D0-9AA2-C282DA3AADC0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Material -10% (was $18,000). $1,800 moved to Labor E71.</t>
        </r>
      </text>
    </comment>
    <comment ref="E71" authorId="0" shapeId="0" xr:uid="{105CDAE8-928B-4892-8EEB-CAFFDADA3702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Labor +$1,800 (was $5,000), shifted from Material E70.</t>
        </r>
      </text>
    </comment>
    <comment ref="E72" authorId="0" shapeId="0" xr:uid="{28747924-479A-4953-BCBC-F93C6C820F6B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Material -10% (was $10,000). $1,000 moved to Labor E73.</t>
        </r>
      </text>
    </comment>
    <comment ref="E73" authorId="0" shapeId="0" xr:uid="{3FFB1091-2D93-406D-A913-0AD18CD3E744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Labor +$1,000 (was $5,000), shifted from Material E72.</t>
        </r>
      </text>
    </comment>
    <comment ref="E74" authorId="0" shapeId="0" xr:uid="{F600ADEE-B5FD-4FA9-8609-7C1F4F6A8233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Material -10% (was $15,000). $1,500 moved to Labor E75.</t>
        </r>
      </text>
    </comment>
    <comment ref="E75" authorId="0" shapeId="0" xr:uid="{F60825B5-5DF3-430C-9EC0-C705266F5F7C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Labor +$1,500 (was $2,000), shifted from Material E74.</t>
        </r>
      </text>
    </comment>
    <comment ref="E76" authorId="0" shapeId="0" xr:uid="{87C53011-0483-40F0-9BBF-3B4E291403BB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Material -10% (was $15,000). $1,500 moved to Labor E77.</t>
        </r>
      </text>
    </comment>
    <comment ref="E77" authorId="0" shapeId="0" xr:uid="{E8FA36E5-8253-4911-8963-F51A604298D1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Labor +$1,500 (was $2,000), shifted from Material E76.</t>
        </r>
      </text>
    </comment>
    <comment ref="E78" authorId="0" shapeId="0" xr:uid="{18EF2AF5-B0CB-47DC-A395-3D07BA2BCCC0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Material -10% (was $20,000). $2,000 moved to Labor E79.</t>
        </r>
      </text>
    </comment>
    <comment ref="E79" authorId="0" shapeId="0" xr:uid="{7D82CB21-4668-41F2-B106-6FAF35E0CA29}">
      <text>
        <r>
          <rPr>
            <b/>
            <sz val="10"/>
            <color indexed="81"/>
            <rFont val="Tahoma"/>
            <charset val="1"/>
          </rPr>
          <t>Peter Ligas:</t>
        </r>
        <r>
          <rPr>
            <sz val="10"/>
            <color indexed="81"/>
            <rFont val="Tahoma"/>
            <charset val="1"/>
          </rPr>
          <t xml:space="preserve">
REVISED: Labor +$2,000 (was $2,500), shifted from Material E78.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<sst xmlns="http://schemas.openxmlformats.org/spreadsheetml/2006/main" count="288" uniqueCount="125">
  <si>
    <t>Elli NY Design Corp.</t>
  </si>
  <si>
    <t>Requisition No.</t>
  </si>
  <si>
    <t>SOV</t>
  </si>
  <si>
    <t>SCA REQUISITION &amp; CERTIFICATE FOR PAYMENT</t>
  </si>
  <si>
    <t>Project:</t>
  </si>
  <si>
    <t xml:space="preserve">489 State Street - School </t>
  </si>
  <si>
    <t>Hunter Roberts Construction Group. LLC</t>
  </si>
  <si>
    <t>TO:</t>
  </si>
  <si>
    <t xml:space="preserve">Hunter Roberts Construction Group, LLC </t>
  </si>
  <si>
    <t xml:space="preserve">PROJECT NAME: 489 State Street School </t>
  </si>
  <si>
    <t>REQUISTION &amp; CERTIFICATE NO:</t>
  </si>
  <si>
    <t>489 State Street Brooklyn NY 11217</t>
  </si>
  <si>
    <t>Contractor:</t>
  </si>
  <si>
    <t xml:space="preserve">55 Water Street, 51st Floor </t>
  </si>
  <si>
    <t>New York, NY 10041</t>
  </si>
  <si>
    <t>AS OF:</t>
  </si>
  <si>
    <t xml:space="preserve">DESCRIPTION </t>
  </si>
  <si>
    <t>TOTAL</t>
  </si>
  <si>
    <t>Percentage</t>
  </si>
  <si>
    <t>Total from</t>
  </si>
  <si>
    <t>Total Completed</t>
  </si>
  <si>
    <t xml:space="preserve">Total </t>
  </si>
  <si>
    <t>Completed</t>
  </si>
  <si>
    <t>Previous</t>
  </si>
  <si>
    <t>To Date</t>
  </si>
  <si>
    <t>Remaining</t>
  </si>
  <si>
    <t>for Period</t>
  </si>
  <si>
    <t>FROM (SUB) CONTRATOR:</t>
  </si>
  <si>
    <t xml:space="preserve">CONTRACT NO: </t>
  </si>
  <si>
    <t>230200-BP09</t>
  </si>
  <si>
    <t>Spec</t>
  </si>
  <si>
    <t>ADDRESS</t>
  </si>
  <si>
    <t>50-01 Metropolitan Ave.</t>
  </si>
  <si>
    <t xml:space="preserve">All </t>
  </si>
  <si>
    <t xml:space="preserve">Shop Drawings </t>
  </si>
  <si>
    <t>Ridgewood, NY 11385</t>
  </si>
  <si>
    <t xml:space="preserve">DATE PREPARED: </t>
  </si>
  <si>
    <t xml:space="preserve">Submittals / Samples </t>
  </si>
  <si>
    <t>CONTRACT FOR (TRADE):</t>
  </si>
  <si>
    <t>Millwork</t>
  </si>
  <si>
    <t>(06410/06200)</t>
  </si>
  <si>
    <t xml:space="preserve">Mock Up Room </t>
  </si>
  <si>
    <t>Application is made for Payment, as shown below, in connection with the Contract.</t>
  </si>
  <si>
    <t xml:space="preserve">Shop Mobilization </t>
  </si>
  <si>
    <t>Trade Payment Breakdown is attached</t>
  </si>
  <si>
    <t xml:space="preserve">Field Mobilization </t>
  </si>
  <si>
    <t>CHANGE ORDER SUMMARY</t>
  </si>
  <si>
    <t>Total For 06200:</t>
  </si>
  <si>
    <t>Change Orders approved in previous months by Owner</t>
  </si>
  <si>
    <t>.</t>
  </si>
  <si>
    <t>1. ORIGINAL CONTRACT SUM…………………………</t>
  </si>
  <si>
    <t xml:space="preserve">Material </t>
  </si>
  <si>
    <t>06200</t>
  </si>
  <si>
    <t xml:space="preserve">Cellar: Stage / Proscenium Wood Panels, Stairs, Trim, Barres  </t>
  </si>
  <si>
    <t>Labor</t>
  </si>
  <si>
    <t>Approved</t>
  </si>
  <si>
    <t>Pending</t>
  </si>
  <si>
    <t>2. Net change by Change Orders (LINE +)   …………………..</t>
  </si>
  <si>
    <t>06410</t>
  </si>
  <si>
    <t xml:space="preserve">Cellar: Lavatory Countertops </t>
  </si>
  <si>
    <t>Approved this Month</t>
  </si>
  <si>
    <t xml:space="preserve">3. CONTRACT SUM TO DATE </t>
  </si>
  <si>
    <t>Number</t>
  </si>
  <si>
    <t>Description</t>
  </si>
  <si>
    <t>4. TOTAL COMPLETED TO DATE ……………………..</t>
  </si>
  <si>
    <t>Cellar: Bench</t>
  </si>
  <si>
    <t>5. RETAINAGE:</t>
  </si>
  <si>
    <t xml:space="preserve">1st Floor: Custom Desks </t>
  </si>
  <si>
    <t xml:space="preserve"> of Completed Work</t>
  </si>
  <si>
    <t xml:space="preserve">1st  Floor: Custom Desks </t>
  </si>
  <si>
    <t>(Column D + E)</t>
  </si>
  <si>
    <t xml:space="preserve">         </t>
  </si>
  <si>
    <t xml:space="preserve">1st Floor: Wood Cabinetry </t>
  </si>
  <si>
    <t>Total Retainage (Line 5a + 5b or</t>
  </si>
  <si>
    <t xml:space="preserve">                 Total in Column 1) ……………………………</t>
  </si>
  <si>
    <t>1st Floor: Countertops</t>
  </si>
  <si>
    <t>6. TOTAL EARNED LESS RETAINAGE ………………….</t>
  </si>
  <si>
    <t>(Line 4 less Line 5 Total)</t>
  </si>
  <si>
    <t xml:space="preserve">2nd Floor: Lavatory Countertops </t>
  </si>
  <si>
    <t>7. TOTAL PREVIOUS CERTIFICATES FOR PAYMENT</t>
  </si>
  <si>
    <t>(Line 6 from prior Requistion)………………</t>
  </si>
  <si>
    <t xml:space="preserve">3rd Floor: Wood Cabinetry </t>
  </si>
  <si>
    <t>8. CURRENT PAYMENT DUE  ………………………………….</t>
  </si>
  <si>
    <t>9. BALANCE TO FINISH, PLUS RETAINAGE …………………</t>
  </si>
  <si>
    <t>3rd Floor: Countertops</t>
  </si>
  <si>
    <t>Net by Change Orders</t>
  </si>
  <si>
    <t xml:space="preserve"> </t>
  </si>
  <si>
    <t>(Line 3 less Line 6)</t>
  </si>
  <si>
    <t>3rd  Floor: Countertops</t>
  </si>
  <si>
    <t>SUB-CONTRACTOR AUTHORIZED OFFICER SIGNATURE:</t>
  </si>
  <si>
    <t>GENERAL CONTRACTOR AUTHORIZED AMOUNT</t>
  </si>
  <si>
    <t>_____________________</t>
  </si>
  <si>
    <t xml:space="preserve">3rd Floor: Closet interiors </t>
  </si>
  <si>
    <t xml:space="preserve">BY:        </t>
  </si>
  <si>
    <t xml:space="preserve">Tomasz Bartosiak </t>
  </si>
  <si>
    <t xml:space="preserve">Senior Project Manager </t>
  </si>
  <si>
    <t>APPROVED BY:         ______________________________________</t>
  </si>
  <si>
    <t>TITLE</t>
  </si>
  <si>
    <t xml:space="preserve">4th Floor: Lavatory Countertops </t>
  </si>
  <si>
    <t xml:space="preserve">4th Floor: Wood Cabinetry </t>
  </si>
  <si>
    <t>4th Floor: Countertops</t>
  </si>
  <si>
    <t xml:space="preserve">4th Floor: Closet interiors </t>
  </si>
  <si>
    <t>4th Floor: Benches</t>
  </si>
  <si>
    <t xml:space="preserve">5th Floor: Lavatory Countertops </t>
  </si>
  <si>
    <t xml:space="preserve">5th Floor: Wood Cabinetry </t>
  </si>
  <si>
    <t>5th Floor: Countertops</t>
  </si>
  <si>
    <t xml:space="preserve">5th Floor: Closet interiors </t>
  </si>
  <si>
    <t>5th Floor: Benches</t>
  </si>
  <si>
    <t xml:space="preserve">6th Floor: Lavatory Countertops </t>
  </si>
  <si>
    <t xml:space="preserve">6th Floor: Wood Cabinetry </t>
  </si>
  <si>
    <t>6th Floor: Countertops</t>
  </si>
  <si>
    <t xml:space="preserve">6th Floor: Closet interiors </t>
  </si>
  <si>
    <t>6th Floor: Benches</t>
  </si>
  <si>
    <t xml:space="preserve">7th Floor: Lavatory Countertops </t>
  </si>
  <si>
    <t xml:space="preserve">7th Floor: Wood Cabinetry </t>
  </si>
  <si>
    <t>7th Floor: Countertops</t>
  </si>
  <si>
    <t xml:space="preserve">7th Floor: Closet interiors </t>
  </si>
  <si>
    <t>7th Floor: Benches</t>
  </si>
  <si>
    <t xml:space="preserve">8th Floor: Lavatory Countertops </t>
  </si>
  <si>
    <t>8th Floor: Benches</t>
  </si>
  <si>
    <t>Total For 06410:</t>
  </si>
  <si>
    <t>Line Totals</t>
  </si>
  <si>
    <t>Contract Value</t>
  </si>
  <si>
    <t>Material</t>
  </si>
  <si>
    <t>REVISED: Cells shaded red (E16:E79) were adjusted — each Material line reduced 10%, with that amount added to its paired Labor line. Contract total unchanged at $996,000.00. Hover any red cell for the original amount.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</si>
</sst>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 &quot;&quot;$&quot;* #,##0.00&quot; &quot;;&quot; &quot;&quot;$&quot;* \(#,##0.00\);&quot; &quot;&quot;$&quot;* &quot;-&quot;??&quot; &quot;"/>
    <numFmt numFmtId="165" formatCode="&quot;$&quot;#,##0.00"/>
    <numFmt numFmtId="166" formatCode="&quot;$&quot;#,##0.00&quot; &quot;;\(&quot;$&quot;#,##0.00\)"/>
  </numFmts>
  <fonts count="15" x14ac:knownFonts="1">
    <font>
      <sz val="10"/>
      <color indexed="8"/>
      <name val="Arial"/>
    </font>
    <font>
      <b/>
      <sz val="13"/>
      <color indexed="8"/>
      <name val="Tahoma"/>
    </font>
    <font>
      <sz val="9"/>
      <color indexed="8"/>
      <name val="Tahoma"/>
    </font>
    <font>
      <b/>
      <sz val="9"/>
      <color indexed="8"/>
      <name val="Tahoma"/>
    </font>
    <font>
      <sz val="8"/>
      <color indexed="8"/>
      <name val="Tahoma"/>
    </font>
    <font>
      <sz val="8"/>
      <color indexed="8"/>
      <name val="Tahoma"/>
    </font>
    <font>
      <b/>
      <sz val="8"/>
      <color indexed="8"/>
      <name val="Tahoma"/>
    </font>
    <font>
      <sz val="8"/>
      <color indexed="8"/>
      <name val="Arial"/>
    </font>
    <font>
      <u/>
      <sz val="9"/>
      <color indexed="8"/>
      <name val="Tahoma"/>
    </font>
    <font>
      <sz val="14"/>
      <color indexed="8"/>
      <name val="Vladimir Script"/>
    </font>
    <font>
      <b/>
      <sz val="10"/>
      <color indexed="8"/>
      <name val="Tahoma"/>
    </font>
    <font>
      <b/>
      <sz val="9"/>
      <color rgb="FF9C0006"/>
      <name val="Tahoma"/>
    </font>
    <font>
      <sz val="10"/>
      <color indexed="81"/>
      <name val="Tahoma"/>
      <charset val="1"/>
    </font>
    <font>
      <b/>
      <sz val="10"/>
      <color indexed="81"/>
      <name val="Tahoma"/>
      <charset val="1"/>
    </font>
    <font>
      <b/>
      <sz val="8"/>
      <color rgb="FF9C0006"/>
      <name val="Tahoma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rgb="FFFFC7CE"/>
        <bgColor indexed="64"/>
      </patternFill>
    </fill>
  </fills>
  <borders count="3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163">
    <xf numFmtId="0" fontId="0" fillId="0" borderId="0" xfId="0"/>
    <xf numFmtId="0" fontId="0" fillId="0" borderId="0" xfId="0" applyNumberFormat="1"/>
    <xf numFmtId="0" fontId="0" fillId="2" borderId="1" xfId="0" applyFill="1" applyBorder="1"/>
    <xf numFmtId="49" fontId="1" fillId="2" borderId="2" xfId="0" applyNumberFormat="1" applyFont="1" applyFill="1" applyBorder="1"/>
    <xf numFmtId="0" fontId="1" fillId="2" borderId="2" xfId="0" applyFont="1" applyFill="1" applyBorder="1"/>
    <xf numFmtId="164" fontId="1" fillId="2" borderId="2" xfId="0" applyNumberFormat="1" applyFont="1" applyFill="1" applyBorder="1"/>
    <xf numFmtId="49" fontId="1" fillId="2" borderId="2" xfId="0" applyNumberFormat="1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center"/>
    </xf>
    <xf numFmtId="0" fontId="0" fillId="0" borderId="1" xfId="0" applyBorder="1"/>
    <xf numFmtId="49" fontId="1" fillId="0" borderId="3" xfId="0" applyNumberFormat="1" applyFont="1" applyBorder="1"/>
    <xf numFmtId="0" fontId="2" fillId="2" borderId="3" xfId="0" applyFont="1" applyFill="1" applyBorder="1"/>
    <xf numFmtId="0" fontId="2" fillId="0" borderId="3" xfId="0" applyFont="1" applyBorder="1"/>
    <xf numFmtId="164" fontId="2" fillId="2" borderId="3" xfId="0" applyNumberFormat="1" applyFont="1" applyFill="1" applyBorder="1" applyAlignment="1">
      <alignment horizontal="right"/>
    </xf>
    <xf numFmtId="0" fontId="2" fillId="2" borderId="4" xfId="0" applyFont="1" applyFill="1" applyBorder="1"/>
    <xf numFmtId="164" fontId="2" fillId="2" borderId="4" xfId="0" applyNumberFormat="1" applyFont="1" applyFill="1" applyBorder="1"/>
    <xf numFmtId="9" fontId="2" fillId="2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5" xfId="0" applyFont="1" applyBorder="1"/>
    <xf numFmtId="0" fontId="2" fillId="2" borderId="5" xfId="0" applyFont="1" applyFill="1" applyBorder="1"/>
    <xf numFmtId="164" fontId="2" fillId="2" borderId="5" xfId="0" applyNumberFormat="1" applyFont="1" applyFill="1" applyBorder="1" applyAlignment="1">
      <alignment horizontal="right"/>
    </xf>
    <xf numFmtId="49" fontId="2" fillId="2" borderId="1" xfId="0" applyNumberFormat="1" applyFont="1" applyFill="1" applyBorder="1"/>
    <xf numFmtId="0" fontId="2" fillId="2" borderId="1" xfId="0" applyFont="1" applyFill="1" applyBorder="1"/>
    <xf numFmtId="49" fontId="3" fillId="2" borderId="1" xfId="0" applyNumberFormat="1" applyFont="1" applyFill="1" applyBorder="1"/>
    <xf numFmtId="164" fontId="2" fillId="2" borderId="1" xfId="0" applyNumberFormat="1" applyFont="1" applyFill="1" applyBorder="1"/>
    <xf numFmtId="0" fontId="2" fillId="2" borderId="1" xfId="0" applyFont="1" applyFill="1" applyBorder="1" applyAlignment="1">
      <alignment horizontal="left"/>
    </xf>
    <xf numFmtId="49" fontId="2" fillId="0" borderId="1" xfId="0" applyNumberFormat="1" applyFont="1" applyBorder="1"/>
    <xf numFmtId="0" fontId="2" fillId="0" borderId="1" xfId="0" applyFont="1" applyBorder="1"/>
    <xf numFmtId="49" fontId="2" fillId="0" borderId="1" xfId="0" applyNumberFormat="1" applyFont="1" applyBorder="1" applyAlignment="1">
      <alignment horizontal="right"/>
    </xf>
    <xf numFmtId="49" fontId="3" fillId="2" borderId="2" xfId="0" applyNumberFormat="1" applyFont="1" applyFill="1" applyBorder="1" applyAlignment="1">
      <alignment horizontal="center"/>
    </xf>
    <xf numFmtId="9" fontId="2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0" fontId="3" fillId="0" borderId="1" xfId="0" applyFont="1" applyBorder="1"/>
    <xf numFmtId="0" fontId="3" fillId="2" borderId="4" xfId="0" applyFont="1" applyFill="1" applyBorder="1" applyAlignment="1">
      <alignment horizontal="center"/>
    </xf>
    <xf numFmtId="0" fontId="2" fillId="2" borderId="2" xfId="0" applyFont="1" applyFill="1" applyBorder="1"/>
    <xf numFmtId="164" fontId="2" fillId="2" borderId="3" xfId="0" applyNumberFormat="1" applyFont="1" applyFill="1" applyBorder="1"/>
    <xf numFmtId="9" fontId="2" fillId="2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0" fillId="2" borderId="6" xfId="0" applyFill="1" applyBorder="1"/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49" fontId="4" fillId="2" borderId="8" xfId="0" applyNumberFormat="1" applyFont="1" applyFill="1" applyBorder="1" applyAlignment="1">
      <alignment horizontal="center"/>
    </xf>
    <xf numFmtId="0" fontId="0" fillId="0" borderId="9" xfId="0" applyBorder="1"/>
    <xf numFmtId="0" fontId="2" fillId="0" borderId="1" xfId="0" applyFont="1" applyBorder="1" applyAlignment="1">
      <alignment horizontal="right"/>
    </xf>
    <xf numFmtId="0" fontId="4" fillId="2" borderId="10" xfId="0" applyFont="1" applyFill="1" applyBorder="1" applyAlignment="1">
      <alignment horizontal="center"/>
    </xf>
    <xf numFmtId="0" fontId="4" fillId="2" borderId="10" xfId="0" applyFont="1" applyFill="1" applyBorder="1"/>
    <xf numFmtId="164" fontId="4" fillId="2" borderId="10" xfId="0" applyNumberFormat="1" applyFont="1" applyFill="1" applyBorder="1"/>
    <xf numFmtId="49" fontId="4" fillId="2" borderId="10" xfId="0" applyNumberFormat="1" applyFont="1" applyFill="1" applyBorder="1" applyAlignment="1">
      <alignment horizontal="center"/>
    </xf>
    <xf numFmtId="49" fontId="3" fillId="2" borderId="2" xfId="0" applyNumberFormat="1" applyFont="1" applyFill="1" applyBorder="1"/>
    <xf numFmtId="0" fontId="2" fillId="2" borderId="1" xfId="0" applyFont="1" applyFill="1" applyBorder="1" applyAlignment="1">
      <alignment horizontal="right"/>
    </xf>
    <xf numFmtId="0" fontId="2" fillId="2" borderId="11" xfId="0" applyFont="1" applyFill="1" applyBorder="1" applyAlignment="1">
      <alignment horizontal="center"/>
    </xf>
    <xf numFmtId="49" fontId="2" fillId="2" borderId="11" xfId="0" applyNumberFormat="1" applyFont="1" applyFill="1" applyBorder="1" applyAlignment="1">
      <alignment horizontal="center"/>
    </xf>
    <xf numFmtId="0" fontId="4" fillId="2" borderId="11" xfId="0" applyFont="1" applyFill="1" applyBorder="1" applyAlignment="1">
      <alignment wrapText="1"/>
    </xf>
    <xf numFmtId="164" fontId="2" fillId="2" borderId="11" xfId="0" applyNumberFormat="1" applyFont="1" applyFill="1" applyBorder="1" applyAlignment="1">
      <alignment horizontal="center"/>
    </xf>
    <xf numFmtId="9" fontId="2" fillId="2" borderId="11" xfId="0" applyNumberFormat="1" applyFont="1" applyFill="1" applyBorder="1" applyAlignment="1">
      <alignment horizontal="center"/>
    </xf>
    <xf numFmtId="49" fontId="3" fillId="2" borderId="12" xfId="0" applyNumberFormat="1" applyFont="1" applyFill="1" applyBorder="1"/>
    <xf numFmtId="0" fontId="2" fillId="2" borderId="12" xfId="0" applyFont="1" applyFill="1" applyBorder="1"/>
    <xf numFmtId="49" fontId="4" fillId="2" borderId="11" xfId="0" applyNumberFormat="1" applyFont="1" applyFill="1" applyBorder="1" applyAlignment="1">
      <alignment wrapText="1"/>
    </xf>
    <xf numFmtId="49" fontId="2" fillId="0" borderId="3" xfId="0" applyNumberFormat="1" applyFont="1" applyBorder="1"/>
    <xf numFmtId="49" fontId="2" fillId="2" borderId="13" xfId="0" applyNumberFormat="1" applyFont="1" applyFill="1" applyBorder="1"/>
    <xf numFmtId="164" fontId="2" fillId="2" borderId="13" xfId="0" applyNumberFormat="1" applyFont="1" applyFill="1" applyBorder="1"/>
    <xf numFmtId="49" fontId="5" fillId="0" borderId="5" xfId="0" applyNumberFormat="1" applyFont="1" applyBorder="1" applyAlignment="1">
      <alignment horizontal="left"/>
    </xf>
    <xf numFmtId="164" fontId="2" fillId="2" borderId="5" xfId="0" applyNumberFormat="1" applyFont="1" applyFill="1" applyBorder="1"/>
    <xf numFmtId="0" fontId="2" fillId="0" borderId="2" xfId="0" applyFont="1" applyBorder="1"/>
    <xf numFmtId="49" fontId="5" fillId="0" borderId="1" xfId="0" applyNumberFormat="1" applyFont="1" applyBorder="1"/>
    <xf numFmtId="0" fontId="0" fillId="0" borderId="14" xfId="0" applyBorder="1"/>
    <xf numFmtId="49" fontId="3" fillId="0" borderId="15" xfId="0" applyNumberFormat="1" applyFont="1" applyBorder="1"/>
    <xf numFmtId="0" fontId="3" fillId="2" borderId="12" xfId="0" applyFont="1" applyFill="1" applyBorder="1"/>
    <xf numFmtId="0" fontId="3" fillId="2" borderId="16" xfId="0" applyFont="1" applyFill="1" applyBorder="1"/>
    <xf numFmtId="0" fontId="2" fillId="2" borderId="9" xfId="0" applyFont="1" applyFill="1" applyBorder="1"/>
    <xf numFmtId="49" fontId="6" fillId="2" borderId="11" xfId="0" applyNumberFormat="1" applyFont="1" applyFill="1" applyBorder="1" applyAlignment="1">
      <alignment wrapText="1"/>
    </xf>
    <xf numFmtId="164" fontId="3" fillId="2" borderId="11" xfId="0" applyNumberFormat="1" applyFont="1" applyFill="1" applyBorder="1" applyAlignment="1">
      <alignment horizontal="center"/>
    </xf>
    <xf numFmtId="9" fontId="3" fillId="2" borderId="11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4" fillId="3" borderId="11" xfId="0" applyFont="1" applyFill="1" applyBorder="1" applyAlignment="1">
      <alignment wrapText="1"/>
    </xf>
    <xf numFmtId="164" fontId="2" fillId="3" borderId="11" xfId="0" applyNumberFormat="1" applyFont="1" applyFill="1" applyBorder="1" applyAlignment="1">
      <alignment horizontal="center"/>
    </xf>
    <xf numFmtId="9" fontId="2" fillId="3" borderId="11" xfId="0" applyNumberFormat="1" applyFont="1" applyFill="1" applyBorder="1" applyAlignment="1">
      <alignment horizontal="center"/>
    </xf>
    <xf numFmtId="49" fontId="2" fillId="3" borderId="11" xfId="0" applyNumberFormat="1" applyFont="1" applyFill="1" applyBorder="1" applyAlignment="1">
      <alignment horizontal="center"/>
    </xf>
    <xf numFmtId="0" fontId="0" fillId="2" borderId="10" xfId="0" applyFill="1" applyBorder="1"/>
    <xf numFmtId="165" fontId="3" fillId="2" borderId="2" xfId="0" applyNumberFormat="1" applyFont="1" applyFill="1" applyBorder="1" applyAlignment="1">
      <alignment horizontal="right"/>
    </xf>
    <xf numFmtId="0" fontId="2" fillId="2" borderId="19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20" xfId="0" applyFont="1" applyFill="1" applyBorder="1" applyAlignment="1">
      <alignment horizontal="center" wrapText="1"/>
    </xf>
    <xf numFmtId="0" fontId="0" fillId="2" borderId="11" xfId="0" applyFill="1" applyBorder="1"/>
    <xf numFmtId="165" fontId="3" fillId="2" borderId="12" xfId="0" applyNumberFormat="1" applyFont="1" applyFill="1" applyBorder="1" applyAlignment="1">
      <alignment horizontal="right"/>
    </xf>
    <xf numFmtId="0" fontId="2" fillId="0" borderId="15" xfId="0" applyFont="1" applyBorder="1"/>
    <xf numFmtId="0" fontId="2" fillId="2" borderId="16" xfId="0" applyFont="1" applyFill="1" applyBorder="1"/>
    <xf numFmtId="49" fontId="3" fillId="2" borderId="11" xfId="0" applyNumberFormat="1" applyFont="1" applyFill="1" applyBorder="1" applyAlignment="1">
      <alignment horizontal="center"/>
    </xf>
    <xf numFmtId="49" fontId="2" fillId="0" borderId="15" xfId="0" applyNumberFormat="1" applyFont="1" applyBorder="1" applyAlignment="1">
      <alignment horizontal="left"/>
    </xf>
    <xf numFmtId="0" fontId="2" fillId="2" borderId="12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left"/>
    </xf>
    <xf numFmtId="49" fontId="2" fillId="0" borderId="11" xfId="0" applyNumberFormat="1" applyFont="1" applyBorder="1" applyAlignment="1">
      <alignment horizontal="center"/>
    </xf>
    <xf numFmtId="49" fontId="2" fillId="2" borderId="15" xfId="0" applyNumberFormat="1" applyFont="1" applyFill="1" applyBorder="1" applyAlignment="1">
      <alignment horizontal="left"/>
    </xf>
    <xf numFmtId="0" fontId="2" fillId="0" borderId="11" xfId="0" applyFont="1" applyBorder="1"/>
    <xf numFmtId="0" fontId="2" fillId="2" borderId="11" xfId="0" applyFont="1" applyFill="1" applyBorder="1" applyAlignment="1">
      <alignment wrapText="1"/>
    </xf>
    <xf numFmtId="164" fontId="2" fillId="2" borderId="11" xfId="0" applyNumberFormat="1" applyFont="1" applyFill="1" applyBorder="1"/>
    <xf numFmtId="165" fontId="3" fillId="2" borderId="4" xfId="0" applyNumberFormat="1" applyFont="1" applyFill="1" applyBorder="1" applyAlignment="1">
      <alignment horizontal="right"/>
    </xf>
    <xf numFmtId="0" fontId="2" fillId="2" borderId="11" xfId="0" applyFont="1" applyFill="1" applyBorder="1"/>
    <xf numFmtId="165" fontId="3" fillId="2" borderId="1" xfId="0" applyNumberFormat="1" applyFont="1" applyFill="1" applyBorder="1" applyAlignment="1">
      <alignment horizontal="right"/>
    </xf>
    <xf numFmtId="9" fontId="3" fillId="0" borderId="3" xfId="0" applyNumberFormat="1" applyFont="1" applyBorder="1"/>
    <xf numFmtId="165" fontId="3" fillId="2" borderId="3" xfId="0" applyNumberFormat="1" applyFont="1" applyFill="1" applyBorder="1" applyAlignment="1">
      <alignment horizontal="right"/>
    </xf>
    <xf numFmtId="49" fontId="2" fillId="2" borderId="5" xfId="0" applyNumberFormat="1" applyFont="1" applyFill="1" applyBorder="1"/>
    <xf numFmtId="0" fontId="2" fillId="2" borderId="22" xfId="0" applyFont="1" applyFill="1" applyBorder="1"/>
    <xf numFmtId="0" fontId="2" fillId="2" borderId="23" xfId="0" applyFont="1" applyFill="1" applyBorder="1"/>
    <xf numFmtId="49" fontId="2" fillId="2" borderId="3" xfId="0" applyNumberFormat="1" applyFont="1" applyFill="1" applyBorder="1"/>
    <xf numFmtId="0" fontId="0" fillId="0" borderId="24" xfId="0" applyBorder="1"/>
    <xf numFmtId="49" fontId="2" fillId="0" borderId="25" xfId="0" applyNumberFormat="1" applyFont="1" applyBorder="1"/>
    <xf numFmtId="0" fontId="2" fillId="2" borderId="26" xfId="0" applyFont="1" applyFill="1" applyBorder="1"/>
    <xf numFmtId="49" fontId="2" fillId="0" borderId="27" xfId="0" applyNumberFormat="1" applyFont="1" applyBorder="1"/>
    <xf numFmtId="49" fontId="9" fillId="2" borderId="2" xfId="0" applyNumberFormat="1" applyFont="1" applyFill="1" applyBorder="1"/>
    <xf numFmtId="49" fontId="2" fillId="2" borderId="2" xfId="0" applyNumberFormat="1" applyFont="1" applyFill="1" applyBorder="1"/>
    <xf numFmtId="0" fontId="2" fillId="2" borderId="28" xfId="0" applyFont="1" applyFill="1" applyBorder="1"/>
    <xf numFmtId="0" fontId="2" fillId="0" borderId="27" xfId="0" applyFont="1" applyBorder="1"/>
    <xf numFmtId="164" fontId="2" fillId="2" borderId="29" xfId="0" applyNumberFormat="1" applyFont="1" applyFill="1" applyBorder="1"/>
    <xf numFmtId="0" fontId="2" fillId="0" borderId="30" xfId="0" applyFont="1" applyBorder="1"/>
    <xf numFmtId="0" fontId="2" fillId="2" borderId="13" xfId="0" applyFont="1" applyFill="1" applyBorder="1"/>
    <xf numFmtId="0" fontId="2" fillId="2" borderId="31" xfId="0" applyFont="1" applyFill="1" applyBorder="1"/>
    <xf numFmtId="164" fontId="2" fillId="2" borderId="32" xfId="0" applyNumberFormat="1" applyFont="1" applyFill="1" applyBorder="1"/>
    <xf numFmtId="0" fontId="0" fillId="0" borderId="5" xfId="0" applyBorder="1"/>
    <xf numFmtId="0" fontId="0" fillId="2" borderId="5" xfId="0" applyFill="1" applyBorder="1"/>
    <xf numFmtId="164" fontId="0" fillId="0" borderId="1" xfId="0" applyNumberFormat="1" applyBorder="1"/>
    <xf numFmtId="0" fontId="3" fillId="2" borderId="11" xfId="0" applyFont="1" applyFill="1" applyBorder="1" applyAlignment="1">
      <alignment horizontal="center"/>
    </xf>
    <xf numFmtId="49" fontId="3" fillId="2" borderId="11" xfId="0" applyNumberFormat="1" applyFont="1" applyFill="1" applyBorder="1"/>
    <xf numFmtId="164" fontId="3" fillId="2" borderId="11" xfId="0" applyNumberFormat="1" applyFont="1" applyFill="1" applyBorder="1"/>
    <xf numFmtId="0" fontId="3" fillId="2" borderId="7" xfId="0" applyFont="1" applyFill="1" applyBorder="1" applyAlignment="1">
      <alignment horizontal="center"/>
    </xf>
    <xf numFmtId="0" fontId="3" fillId="2" borderId="7" xfId="0" applyFont="1" applyFill="1" applyBorder="1"/>
    <xf numFmtId="164" fontId="3" fillId="2" borderId="7" xfId="0" applyNumberFormat="1" applyFont="1" applyFill="1" applyBorder="1" applyAlignment="1">
      <alignment horizontal="center"/>
    </xf>
    <xf numFmtId="9" fontId="3" fillId="2" borderId="7" xfId="0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49" fontId="10" fillId="2" borderId="10" xfId="0" applyNumberFormat="1" applyFont="1" applyFill="1" applyBorder="1" applyAlignment="1">
      <alignment horizontal="right"/>
    </xf>
    <xf numFmtId="164" fontId="10" fillId="2" borderId="10" xfId="0" applyNumberFormat="1" applyFont="1" applyFill="1" applyBorder="1" applyAlignment="1">
      <alignment horizontal="center"/>
    </xf>
    <xf numFmtId="9" fontId="10" fillId="2" borderId="10" xfId="0" applyNumberFormat="1" applyFont="1" applyFill="1" applyBorder="1" applyAlignment="1">
      <alignment horizontal="center"/>
    </xf>
    <xf numFmtId="0" fontId="3" fillId="2" borderId="4" xfId="0" applyFont="1" applyFill="1" applyBorder="1"/>
    <xf numFmtId="164" fontId="3" fillId="2" borderId="4" xfId="0" applyNumberFormat="1" applyFont="1" applyFill="1" applyBorder="1" applyAlignment="1">
      <alignment horizontal="center"/>
    </xf>
    <xf numFmtId="9" fontId="3" fillId="2" borderId="4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0" fillId="2" borderId="1" xfId="0" applyNumberFormat="1" applyFill="1" applyBorder="1"/>
    <xf numFmtId="0" fontId="0" fillId="2" borderId="1" xfId="0" applyNumberFormat="1" applyFill="1" applyBorder="1"/>
    <xf numFmtId="49" fontId="0" fillId="2" borderId="1" xfId="0" applyNumberFormat="1" applyFill="1" applyBorder="1"/>
    <xf numFmtId="49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NumberForma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wrapText="1"/>
    </xf>
    <xf numFmtId="0" fontId="0" fillId="2" borderId="1" xfId="0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49" fontId="6" fillId="2" borderId="21" xfId="0" applyNumberFormat="1" applyFont="1" applyFill="1" applyBorder="1" applyAlignment="1">
      <alignment wrapText="1"/>
    </xf>
    <xf numFmtId="0" fontId="7" fillId="2" borderId="13" xfId="0" applyFont="1" applyFill="1" applyBorder="1" applyAlignment="1">
      <alignment wrapText="1"/>
    </xf>
    <xf numFmtId="49" fontId="2" fillId="2" borderId="17" xfId="0" applyNumberFormat="1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49" fontId="8" fillId="0" borderId="5" xfId="0" applyNumberFormat="1" applyFont="1" applyBorder="1" applyAlignment="1">
      <alignment horizontal="left"/>
    </xf>
    <xf numFmtId="166" fontId="8" fillId="2" borderId="26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64" fontId="11" fillId="4" borderId="11" xfId="0" applyNumberFormat="1" applyFont="1" applyFill="1" applyBorder="1" applyAlignment="1">
      <alignment horizontal="center"/>
    </xf>
    <xf numFmtId="0" fontId="14" fillId="2" borderId="1" xfId="0" applyFon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04DBCFF-20FA-4947-875D-30EA65A90F2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593a4bc-8889-48eb-b70b-0faa449b5ec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32"/>
  <sheetViews>
    <sheetView showGridLines="0" tabSelected="1" topLeftCell="A5" workbookViewId="0"/>
  </sheetViews>
  <sheetFormatPr defaultColWidth="8.81640625" defaultRowHeight="12.75" customHeight="1" x14ac:dyDescent="0.25"/>
  <cols>
    <col min="1" max="1" width="3.1796875" style="1" customWidth="1"/>
    <col min="2" max="2" width="8.36328125" style="1" customWidth="1"/>
    <col min="3" max="3" width="7" style="1" customWidth="1"/>
    <col min="4" max="4" width="42.1796875" style="1" customWidth="1"/>
    <col min="5" max="5" width="17.453125" style="1" customWidth="1"/>
    <col min="6" max="6" width="14.36328125" style="1" customWidth="1"/>
    <col min="7" max="8" width="17.453125" style="1" customWidth="1"/>
    <col min="9" max="9" width="17.81640625" style="1" customWidth="1"/>
    <col min="10" max="10" width="18.36328125" style="1" customWidth="1"/>
    <col min="11" max="12" width="8.81640625" style="1" customWidth="1"/>
    <col min="13" max="13" width="14.1796875" style="1" customWidth="1"/>
    <col min="14" max="14" width="14.453125" style="1" customWidth="1"/>
    <col min="15" max="15" width="14.1796875" style="1" customWidth="1"/>
    <col min="16" max="16" width="11.1796875" style="1" customWidth="1"/>
    <col min="17" max="17" width="8.81640625" style="1" customWidth="1"/>
    <col min="18" max="18" width="11.453125" style="1" customWidth="1"/>
    <col min="19" max="19" width="12.81640625" style="1" customWidth="1"/>
    <col min="20" max="20" width="11.1796875" style="1" customWidth="1"/>
    <col min="21" max="21" width="8.81640625" style="1" customWidth="1"/>
    <col min="22" max="22" width="14.453125" style="1" customWidth="1"/>
    <col min="23" max="23" width="8.81640625" style="1" customWidth="1"/>
    <col min="24" max="16384" width="8.81640625" style="1"/>
  </cols>
  <sheetData>
    <row r="1" spans="1:22" ht="19.5" customHeight="1" x14ac:dyDescent="0.3">
      <c r="A1" s="2"/>
      <c r="B1" s="3" t="s">
        <v>0</v>
      </c>
      <c r="C1" s="4"/>
      <c r="D1" s="4"/>
      <c r="E1" s="5"/>
      <c r="F1" s="4"/>
      <c r="G1" s="4"/>
      <c r="H1" s="4"/>
      <c r="I1" s="6" t="s">
        <v>1</v>
      </c>
      <c r="J1" s="7" t="s">
        <v>2</v>
      </c>
      <c r="K1" s="8"/>
      <c r="L1" s="9" t="s">
        <v>3</v>
      </c>
      <c r="M1" s="10"/>
      <c r="N1" s="10"/>
      <c r="O1" s="10"/>
      <c r="P1" s="10"/>
      <c r="Q1" s="11"/>
      <c r="R1" s="10"/>
      <c r="S1" s="10"/>
      <c r="T1" s="10"/>
      <c r="U1" s="11"/>
      <c r="V1" s="12"/>
    </row>
    <row r="2" spans="1:22" ht="14.5" customHeight="1" x14ac:dyDescent="0.25">
      <c r="A2" s="2"/>
      <c r="B2" s="13"/>
      <c r="C2" s="13"/>
      <c r="D2" s="13"/>
      <c r="E2" s="14"/>
      <c r="F2" s="15"/>
      <c r="G2" s="15"/>
      <c r="H2" s="15"/>
      <c r="I2" s="16"/>
      <c r="J2" s="13"/>
      <c r="K2" s="8"/>
      <c r="L2" s="17"/>
      <c r="M2" s="18"/>
      <c r="N2" s="18"/>
      <c r="O2" s="18"/>
      <c r="P2" s="18"/>
      <c r="Q2" s="17"/>
      <c r="R2" s="18"/>
      <c r="S2" s="18"/>
      <c r="T2" s="18"/>
      <c r="U2" s="17"/>
      <c r="V2" s="19"/>
    </row>
    <row r="3" spans="1:22" ht="19.149999999999999" customHeight="1" x14ac:dyDescent="0.25">
      <c r="A3" s="2"/>
      <c r="B3" s="20" t="s">
        <v>4</v>
      </c>
      <c r="C3" s="21"/>
      <c r="D3" s="22" t="s">
        <v>5</v>
      </c>
      <c r="E3" s="23"/>
      <c r="F3" s="21"/>
      <c r="G3" s="24"/>
      <c r="H3" s="2"/>
      <c r="I3" s="145" t="s">
        <v>6</v>
      </c>
      <c r="J3" s="146"/>
      <c r="K3" s="8"/>
      <c r="L3" s="25" t="s">
        <v>7</v>
      </c>
      <c r="M3" s="158" t="s">
        <v>8</v>
      </c>
      <c r="N3" s="159"/>
      <c r="O3" s="159"/>
      <c r="P3" s="22" t="s">
        <v>9</v>
      </c>
      <c r="Q3" s="26"/>
      <c r="R3" s="21"/>
      <c r="S3" s="21"/>
      <c r="T3" s="21"/>
      <c r="U3" s="27" t="s">
        <v>10</v>
      </c>
      <c r="V3" s="28" t="s">
        <v>2</v>
      </c>
    </row>
    <row r="4" spans="1:22" ht="14" customHeight="1" x14ac:dyDescent="0.25">
      <c r="A4" s="2"/>
      <c r="B4" s="21"/>
      <c r="C4" s="21"/>
      <c r="D4" s="22" t="s">
        <v>11</v>
      </c>
      <c r="E4" s="23"/>
      <c r="F4" s="29"/>
      <c r="G4" s="29"/>
      <c r="H4" s="30" t="s">
        <v>12</v>
      </c>
      <c r="I4" s="147"/>
      <c r="J4" s="146"/>
      <c r="K4" s="8"/>
      <c r="L4" s="26"/>
      <c r="M4" s="158" t="s">
        <v>13</v>
      </c>
      <c r="N4" s="159"/>
      <c r="O4" s="159"/>
      <c r="P4" s="31"/>
      <c r="Q4" s="32"/>
      <c r="R4" s="21"/>
      <c r="S4" s="21"/>
      <c r="T4" s="21"/>
      <c r="U4" s="26"/>
      <c r="V4" s="33"/>
    </row>
    <row r="5" spans="1:22" ht="13.9" customHeight="1" x14ac:dyDescent="0.25">
      <c r="A5" s="2"/>
      <c r="B5" s="34"/>
      <c r="C5" s="10"/>
      <c r="D5" s="10"/>
      <c r="E5" s="35"/>
      <c r="F5" s="36"/>
      <c r="G5" s="36"/>
      <c r="H5" s="36"/>
      <c r="I5" s="37"/>
      <c r="J5" s="37"/>
      <c r="K5" s="8"/>
      <c r="L5" s="26"/>
      <c r="M5" s="158" t="s">
        <v>14</v>
      </c>
      <c r="N5" s="159"/>
      <c r="O5" s="159"/>
      <c r="P5" s="159"/>
      <c r="Q5" s="160"/>
      <c r="R5" s="21"/>
      <c r="S5" s="21"/>
      <c r="T5" s="21"/>
      <c r="U5" s="27" t="s">
        <v>15</v>
      </c>
      <c r="V5" s="38"/>
    </row>
    <row r="6" spans="1:22" ht="13.9" customHeight="1" x14ac:dyDescent="0.25">
      <c r="A6" s="39"/>
      <c r="B6" s="40"/>
      <c r="C6" s="41"/>
      <c r="D6" s="42" t="s">
        <v>16</v>
      </c>
      <c r="E6" s="42" t="s">
        <v>17</v>
      </c>
      <c r="F6" s="42" t="s">
        <v>18</v>
      </c>
      <c r="G6" s="42" t="s">
        <v>19</v>
      </c>
      <c r="H6" s="42" t="s">
        <v>20</v>
      </c>
      <c r="I6" s="42" t="s">
        <v>21</v>
      </c>
      <c r="J6" s="42" t="s">
        <v>17</v>
      </c>
      <c r="K6" s="43"/>
      <c r="L6" s="26"/>
      <c r="M6" s="21"/>
      <c r="N6" s="21"/>
      <c r="O6" s="21"/>
      <c r="P6" s="21"/>
      <c r="Q6" s="26"/>
      <c r="R6" s="21"/>
      <c r="S6" s="21"/>
      <c r="T6" s="21"/>
      <c r="U6" s="44"/>
      <c r="V6" s="33"/>
    </row>
    <row r="7" spans="1:22" ht="13.9" customHeight="1" x14ac:dyDescent="0.25">
      <c r="A7" s="39"/>
      <c r="B7" s="45"/>
      <c r="C7" s="45"/>
      <c r="D7" s="46"/>
      <c r="E7" s="47"/>
      <c r="F7" s="48" t="s">
        <v>22</v>
      </c>
      <c r="G7" s="48" t="s">
        <v>23</v>
      </c>
      <c r="H7" s="48" t="s">
        <v>24</v>
      </c>
      <c r="I7" s="48" t="s">
        <v>25</v>
      </c>
      <c r="J7" s="48" t="s">
        <v>26</v>
      </c>
      <c r="K7" s="43"/>
      <c r="L7" s="25" t="s">
        <v>27</v>
      </c>
      <c r="M7" s="21"/>
      <c r="N7" s="49" t="s">
        <v>0</v>
      </c>
      <c r="O7" s="34"/>
      <c r="P7" s="21"/>
      <c r="Q7" s="26"/>
      <c r="R7" s="21"/>
      <c r="S7" s="21"/>
      <c r="T7" s="50"/>
      <c r="U7" s="27" t="s">
        <v>28</v>
      </c>
      <c r="V7" s="28" t="s">
        <v>29</v>
      </c>
    </row>
    <row r="8" spans="1:22" ht="15" customHeight="1" x14ac:dyDescent="0.25">
      <c r="A8" s="39"/>
      <c r="B8" s="51"/>
      <c r="C8" s="52" t="s">
        <v>30</v>
      </c>
      <c r="D8" s="53"/>
      <c r="E8" s="54"/>
      <c r="F8" s="55"/>
      <c r="G8" s="54"/>
      <c r="H8" s="54"/>
      <c r="I8" s="54"/>
      <c r="J8" s="54"/>
      <c r="K8" s="43"/>
      <c r="L8" s="25" t="s">
        <v>31</v>
      </c>
      <c r="M8" s="21"/>
      <c r="N8" s="56" t="s">
        <v>32</v>
      </c>
      <c r="O8" s="57"/>
      <c r="P8" s="21"/>
      <c r="Q8" s="26"/>
      <c r="R8" s="21"/>
      <c r="S8" s="21"/>
      <c r="T8" s="21"/>
      <c r="U8" s="26"/>
      <c r="V8" s="33"/>
    </row>
    <row r="9" spans="1:22" ht="15" customHeight="1" x14ac:dyDescent="0.25">
      <c r="A9" s="39"/>
      <c r="B9" s="51"/>
      <c r="C9" s="52" t="s">
        <v>33</v>
      </c>
      <c r="D9" s="58" t="s">
        <v>34</v>
      </c>
      <c r="E9" s="54">
        <v>50000</v>
      </c>
      <c r="F9" s="55">
        <v>0</v>
      </c>
      <c r="G9" s="54">
        <v>0</v>
      </c>
      <c r="H9" s="54" cm="1">
        <f t="array" ref="H9">E9*F9</f>
        <v>0</v>
      </c>
      <c r="I9" s="54" cm="1">
        <f t="array" ref="I9">E9-H9</f>
        <v>50000</v>
      </c>
      <c r="J9" s="54" cm="1">
        <f t="array" ref="J9">H9-G9</f>
        <v>0</v>
      </c>
      <c r="K9" s="43"/>
      <c r="L9" s="26"/>
      <c r="M9" s="21"/>
      <c r="N9" s="56" t="s">
        <v>35</v>
      </c>
      <c r="O9" s="57"/>
      <c r="P9" s="21"/>
      <c r="Q9" s="26"/>
      <c r="R9" s="21"/>
      <c r="S9" s="21"/>
      <c r="T9" s="50"/>
      <c r="U9" s="27" t="s">
        <v>36</v>
      </c>
      <c r="V9" s="38">
        <v>44476</v>
      </c>
    </row>
    <row r="10" spans="1:22" ht="15" customHeight="1" x14ac:dyDescent="0.25">
      <c r="A10" s="39"/>
      <c r="B10" s="51"/>
      <c r="C10" s="52" t="s">
        <v>33</v>
      </c>
      <c r="D10" s="58" t="s">
        <v>37</v>
      </c>
      <c r="E10" s="54">
        <v>26000</v>
      </c>
      <c r="F10" s="55">
        <v>0</v>
      </c>
      <c r="G10" s="54">
        <v>0</v>
      </c>
      <c r="H10" s="54" cm="1">
        <f t="array" ref="H10">E10*F10</f>
        <v>0</v>
      </c>
      <c r="I10" s="54" cm="1">
        <f t="array" ref="I10">E10-H10</f>
        <v>26000</v>
      </c>
      <c r="J10" s="54" cm="1">
        <f t="array" ref="J10">H10-G10</f>
        <v>0</v>
      </c>
      <c r="K10" s="43"/>
      <c r="L10" s="59" t="s">
        <v>38</v>
      </c>
      <c r="M10" s="10"/>
      <c r="N10" s="60" t="s">
        <v>39</v>
      </c>
      <c r="O10" s="60" t="s">
        <v>40</v>
      </c>
      <c r="P10" s="10"/>
      <c r="Q10" s="11"/>
      <c r="R10" s="10"/>
      <c r="S10" s="10"/>
      <c r="T10" s="10"/>
      <c r="U10" s="11"/>
      <c r="V10" s="61"/>
    </row>
    <row r="11" spans="1:22" ht="15" customHeight="1" x14ac:dyDescent="0.25">
      <c r="A11" s="39"/>
      <c r="B11" s="51"/>
      <c r="C11" s="52" t="s">
        <v>33</v>
      </c>
      <c r="D11" s="58" t="s">
        <v>41</v>
      </c>
      <c r="E11" s="54">
        <v>14000</v>
      </c>
      <c r="F11" s="55">
        <v>0</v>
      </c>
      <c r="G11" s="54">
        <v>0</v>
      </c>
      <c r="H11" s="54" cm="1">
        <f t="array" ref="H11">E11*F11</f>
        <v>0</v>
      </c>
      <c r="I11" s="54" cm="1">
        <f t="array" ref="I11">E11-H11</f>
        <v>14000</v>
      </c>
      <c r="J11" s="54" cm="1">
        <f t="array" ref="J11">H11-G11</f>
        <v>0</v>
      </c>
      <c r="K11" s="43"/>
      <c r="L11" s="17"/>
      <c r="M11" s="18"/>
      <c r="N11" s="18"/>
      <c r="O11" s="18"/>
      <c r="P11" s="18"/>
      <c r="Q11" s="62" t="s">
        <v>42</v>
      </c>
      <c r="R11" s="18"/>
      <c r="S11" s="18"/>
      <c r="T11" s="18"/>
      <c r="U11" s="17"/>
      <c r="V11" s="63"/>
    </row>
    <row r="12" spans="1:22" ht="15" customHeight="1" x14ac:dyDescent="0.25">
      <c r="A12" s="39"/>
      <c r="B12" s="51"/>
      <c r="C12" s="52" t="s">
        <v>33</v>
      </c>
      <c r="D12" s="58" t="s">
        <v>43</v>
      </c>
      <c r="E12" s="54">
        <v>18000</v>
      </c>
      <c r="F12" s="55">
        <v>0</v>
      </c>
      <c r="G12" s="54">
        <v>0</v>
      </c>
      <c r="H12" s="54" cm="1">
        <f t="array" ref="H12">E12*F12</f>
        <v>0</v>
      </c>
      <c r="I12" s="54" cm="1">
        <f t="array" ref="I12">E12-H12</f>
        <v>18000</v>
      </c>
      <c r="J12" s="54" cm="1">
        <f t="array" ref="J12">H12-G12</f>
        <v>0</v>
      </c>
      <c r="K12" s="43"/>
      <c r="L12" s="64"/>
      <c r="M12" s="34"/>
      <c r="N12" s="34"/>
      <c r="O12" s="34"/>
      <c r="P12" s="21"/>
      <c r="Q12" s="65" t="s">
        <v>44</v>
      </c>
      <c r="R12" s="21"/>
      <c r="S12" s="21"/>
      <c r="T12" s="21"/>
      <c r="U12" s="44"/>
      <c r="V12" s="23"/>
    </row>
    <row r="13" spans="1:22" ht="15" customHeight="1" x14ac:dyDescent="0.25">
      <c r="A13" s="39"/>
      <c r="B13" s="51"/>
      <c r="C13" s="52" t="s">
        <v>33</v>
      </c>
      <c r="D13" s="58" t="s">
        <v>45</v>
      </c>
      <c r="E13" s="54">
        <v>8000</v>
      </c>
      <c r="F13" s="55">
        <v>0</v>
      </c>
      <c r="G13" s="54">
        <v>0</v>
      </c>
      <c r="H13" s="54" cm="1">
        <f t="array" ref="H13">E13*F13</f>
        <v>0</v>
      </c>
      <c r="I13" s="54" cm="1">
        <f t="array" ref="I13">E13-H13</f>
        <v>8000</v>
      </c>
      <c r="J13" s="54" cm="1">
        <f t="array" ref="J13">H13-G13</f>
        <v>0</v>
      </c>
      <c r="K13" s="66"/>
      <c r="L13" s="67" t="s">
        <v>46</v>
      </c>
      <c r="M13" s="68"/>
      <c r="N13" s="68"/>
      <c r="O13" s="69"/>
      <c r="P13" s="70"/>
      <c r="Q13" s="26"/>
      <c r="R13" s="21"/>
      <c r="S13" s="21"/>
      <c r="T13" s="21"/>
      <c r="U13" s="26"/>
      <c r="V13" s="23"/>
    </row>
    <row r="14" spans="1:22" ht="15" customHeight="1" x14ac:dyDescent="0.25">
      <c r="A14" s="39"/>
      <c r="B14" s="51"/>
      <c r="C14" s="51"/>
      <c r="D14" s="71" t="s">
        <v>47</v>
      </c>
      <c r="E14" s="72" cm="1">
        <f t="array" ref="E14">SUM(E9:E13)</f>
        <v>116000</v>
      </c>
      <c r="F14" s="73" cm="1">
        <f t="array" ref="F14">H14/E14</f>
        <v>0</v>
      </c>
      <c r="G14" s="72" cm="1">
        <f t="array" ref="G14">SUM(G9:G13)</f>
        <v>0</v>
      </c>
      <c r="H14" s="72" cm="1">
        <f t="array" ref="H14">SUM(H9:H13)</f>
        <v>0</v>
      </c>
      <c r="I14" s="72" cm="1">
        <f t="array" ref="I14">SUM(I9:I13)</f>
        <v>116000</v>
      </c>
      <c r="J14" s="72" cm="1">
        <f t="array" ref="J14">SUM(J9:J13)</f>
        <v>0</v>
      </c>
      <c r="K14" s="66"/>
      <c r="L14" s="150" t="s">
        <v>48</v>
      </c>
      <c r="M14" s="151"/>
      <c r="N14" s="152"/>
      <c r="O14" s="74"/>
      <c r="P14" s="70"/>
      <c r="Q14" s="26"/>
      <c r="R14" s="21"/>
      <c r="S14" s="21"/>
      <c r="T14" s="21"/>
      <c r="U14" s="26"/>
      <c r="V14" s="23"/>
    </row>
    <row r="15" spans="1:22" ht="15" customHeight="1" x14ac:dyDescent="0.25">
      <c r="A15" s="39"/>
      <c r="B15" s="75"/>
      <c r="C15" s="75"/>
      <c r="D15" s="76"/>
      <c r="E15" s="77"/>
      <c r="F15" s="78"/>
      <c r="G15" s="77"/>
      <c r="H15" s="79" t="s">
        <v>49</v>
      </c>
      <c r="I15" s="77"/>
      <c r="J15" s="77"/>
      <c r="K15" s="66"/>
      <c r="L15" s="153"/>
      <c r="M15" s="154"/>
      <c r="N15" s="155"/>
      <c r="O15" s="80"/>
      <c r="P15" s="70"/>
      <c r="Q15" s="25" t="s">
        <v>50</v>
      </c>
      <c r="R15" s="21"/>
      <c r="S15" s="21"/>
      <c r="T15" s="21"/>
      <c r="U15" s="26"/>
      <c r="V15" s="81" cm="1">
        <f t="array" ref="V15">E83</f>
        <v>996000</v>
      </c>
    </row>
    <row r="16" spans="1:22" ht="15" customHeight="1" x14ac:dyDescent="0.25">
      <c r="A16" s="39"/>
      <c r="B16" s="52" t="s">
        <v>51</v>
      </c>
      <c r="C16" s="52" t="s">
        <v>52</v>
      </c>
      <c r="D16" s="58" t="s">
        <v>53</v>
      </c>
      <c r="E16" s="161">
        <v>36000</v>
      </c>
      <c r="F16" s="55">
        <v>0</v>
      </c>
      <c r="G16" s="54">
        <v>0</v>
      </c>
      <c r="H16" s="54" cm="1">
        <f t="array" ref="H16">E16*F16</f>
        <v>0</v>
      </c>
      <c r="I16" s="54" cm="1">
        <f t="array" ref="I16">E16-H16</f>
        <v>36000</v>
      </c>
      <c r="J16" s="54" cm="1">
        <f t="array" ref="J16">H16-G16</f>
        <v>0</v>
      </c>
      <c r="K16" s="66"/>
      <c r="L16" s="82"/>
      <c r="M16" s="83"/>
      <c r="N16" s="84"/>
      <c r="O16" s="85"/>
      <c r="P16" s="70"/>
      <c r="Q16" s="26"/>
      <c r="R16" s="21"/>
      <c r="S16" s="21"/>
      <c r="T16" s="21"/>
      <c r="U16" s="26"/>
      <c r="V16" s="86"/>
    </row>
    <row r="17" spans="1:22" ht="15" customHeight="1" x14ac:dyDescent="0.25">
      <c r="A17" s="39"/>
      <c r="B17" s="52" t="s">
        <v>54</v>
      </c>
      <c r="C17" s="52" t="s">
        <v>52</v>
      </c>
      <c r="D17" s="58" t="s">
        <v>53</v>
      </c>
      <c r="E17" s="161">
        <v>14000</v>
      </c>
      <c r="F17" s="55">
        <v>0</v>
      </c>
      <c r="G17" s="54">
        <v>0</v>
      </c>
      <c r="H17" s="54" cm="1">
        <f t="array" ref="H17">E17*F17</f>
        <v>0</v>
      </c>
      <c r="I17" s="54" cm="1">
        <f t="array" ref="I17">E17-H17</f>
        <v>14000</v>
      </c>
      <c r="J17" s="54" cm="1">
        <f t="array" ref="J17">H17-G17</f>
        <v>0</v>
      </c>
      <c r="K17" s="66"/>
      <c r="L17" s="87"/>
      <c r="M17" s="88"/>
      <c r="N17" s="89" t="s">
        <v>55</v>
      </c>
      <c r="O17" s="89" t="s">
        <v>56</v>
      </c>
      <c r="P17" s="70"/>
      <c r="Q17" s="25" t="s">
        <v>57</v>
      </c>
      <c r="R17" s="21"/>
      <c r="S17" s="21"/>
      <c r="T17" s="21"/>
      <c r="U17" s="26"/>
      <c r="V17" s="86" cm="1">
        <f t="array" ref="V17">N32</f>
        <v>0</v>
      </c>
    </row>
    <row r="18" spans="1:22" ht="15" customHeight="1" x14ac:dyDescent="0.25">
      <c r="A18" s="39"/>
      <c r="B18" s="52" t="s">
        <v>51</v>
      </c>
      <c r="C18" s="52" t="s">
        <v>58</v>
      </c>
      <c r="D18" s="58" t="s">
        <v>59</v>
      </c>
      <c r="E18" s="161">
        <v>13500</v>
      </c>
      <c r="F18" s="55">
        <v>0</v>
      </c>
      <c r="G18" s="54">
        <v>0</v>
      </c>
      <c r="H18" s="54" cm="1">
        <f t="array" ref="H18">E18*F18</f>
        <v>0</v>
      </c>
      <c r="I18" s="54" cm="1">
        <f t="array" ref="I18">E18-H18</f>
        <v>13500</v>
      </c>
      <c r="J18" s="54" cm="1">
        <f t="array" ref="J18">H18-G18</f>
        <v>0</v>
      </c>
      <c r="K18" s="66"/>
      <c r="L18" s="90" t="s">
        <v>60</v>
      </c>
      <c r="M18" s="91"/>
      <c r="N18" s="91"/>
      <c r="O18" s="92"/>
      <c r="P18" s="70"/>
      <c r="Q18" s="25" t="s">
        <v>61</v>
      </c>
      <c r="R18" s="21"/>
      <c r="S18" s="21"/>
      <c r="T18" s="21"/>
      <c r="U18" s="26"/>
      <c r="V18" s="86" cm="1">
        <f t="array" ref="V18">V15+V17</f>
        <v>996000</v>
      </c>
    </row>
    <row r="19" spans="1:22" ht="15" customHeight="1" x14ac:dyDescent="0.25">
      <c r="A19" s="39"/>
      <c r="B19" s="52" t="s">
        <v>54</v>
      </c>
      <c r="C19" s="52" t="s">
        <v>58</v>
      </c>
      <c r="D19" s="58" t="s">
        <v>59</v>
      </c>
      <c r="E19" s="161">
        <v>4000</v>
      </c>
      <c r="F19" s="55">
        <v>0</v>
      </c>
      <c r="G19" s="54">
        <v>0</v>
      </c>
      <c r="H19" s="54" cm="1">
        <f t="array" ref="H19">E19*F19</f>
        <v>0</v>
      </c>
      <c r="I19" s="54" cm="1">
        <f t="array" ref="I19">E19-H19</f>
        <v>4000</v>
      </c>
      <c r="J19" s="54" cm="1">
        <f t="array" ref="J19">H19-G19</f>
        <v>0</v>
      </c>
      <c r="K19" s="66"/>
      <c r="L19" s="93" t="s">
        <v>62</v>
      </c>
      <c r="M19" s="94" t="s">
        <v>63</v>
      </c>
      <c r="N19" s="91"/>
      <c r="O19" s="88"/>
      <c r="P19" s="70"/>
      <c r="Q19" s="25" t="s">
        <v>64</v>
      </c>
      <c r="R19" s="21"/>
      <c r="S19" s="21"/>
      <c r="T19" s="21"/>
      <c r="U19" s="26"/>
      <c r="V19" s="86" cm="1">
        <f t="array" ref="V19">H83</f>
        <v>0</v>
      </c>
    </row>
    <row r="20" spans="1:22" ht="15" customHeight="1" x14ac:dyDescent="0.25">
      <c r="A20" s="39"/>
      <c r="B20" s="52" t="s">
        <v>51</v>
      </c>
      <c r="C20" s="52" t="s">
        <v>58</v>
      </c>
      <c r="D20" s="58" t="s">
        <v>65</v>
      </c>
      <c r="E20" s="161">
        <v>4500</v>
      </c>
      <c r="F20" s="55">
        <v>0</v>
      </c>
      <c r="G20" s="54">
        <v>0</v>
      </c>
      <c r="H20" s="54" cm="1">
        <f t="array" ref="H20">E20*F20</f>
        <v>0</v>
      </c>
      <c r="I20" s="54" cm="1">
        <f t="array" ref="I20">E20-H20</f>
        <v>4500</v>
      </c>
      <c r="J20" s="54" cm="1">
        <f t="array" ref="J20">H20-G20</f>
        <v>0</v>
      </c>
      <c r="K20" s="66"/>
      <c r="L20" s="95"/>
      <c r="M20" s="96"/>
      <c r="N20" s="97">
        <v>0</v>
      </c>
      <c r="O20" s="97">
        <v>0</v>
      </c>
      <c r="P20" s="70"/>
      <c r="Q20" s="26"/>
      <c r="R20" s="21"/>
      <c r="S20" s="21"/>
      <c r="T20" s="21"/>
      <c r="U20" s="26"/>
      <c r="V20" s="98"/>
    </row>
    <row r="21" spans="1:22" ht="15" customHeight="1" x14ac:dyDescent="0.25">
      <c r="A21" s="39"/>
      <c r="B21" s="52" t="s">
        <v>54</v>
      </c>
      <c r="C21" s="52" t="s">
        <v>58</v>
      </c>
      <c r="D21" s="58" t="s">
        <v>65</v>
      </c>
      <c r="E21" s="161">
        <v>1500</v>
      </c>
      <c r="F21" s="55">
        <v>0</v>
      </c>
      <c r="G21" s="54">
        <v>0</v>
      </c>
      <c r="H21" s="54" cm="1">
        <f t="array" ref="H21">E21*F21</f>
        <v>0</v>
      </c>
      <c r="I21" s="54" cm="1">
        <f t="array" ref="I21">E21-H21</f>
        <v>1500</v>
      </c>
      <c r="J21" s="54" cm="1">
        <f t="array" ref="J21">H21-G21</f>
        <v>0</v>
      </c>
      <c r="K21" s="66"/>
      <c r="L21" s="95"/>
      <c r="M21" s="99"/>
      <c r="N21" s="97">
        <v>0</v>
      </c>
      <c r="O21" s="97">
        <v>0</v>
      </c>
      <c r="P21" s="70"/>
      <c r="Q21" s="25" t="s">
        <v>66</v>
      </c>
      <c r="R21" s="21"/>
      <c r="S21" s="21"/>
      <c r="T21" s="21"/>
      <c r="U21" s="26"/>
      <c r="V21" s="100"/>
    </row>
    <row r="22" spans="1:22" ht="15" customHeight="1" x14ac:dyDescent="0.25">
      <c r="A22" s="39"/>
      <c r="B22" s="52" t="s">
        <v>51</v>
      </c>
      <c r="C22" s="52" t="s">
        <v>58</v>
      </c>
      <c r="D22" s="58" t="s">
        <v>67</v>
      </c>
      <c r="E22" s="161">
        <v>45000</v>
      </c>
      <c r="F22" s="55">
        <v>0</v>
      </c>
      <c r="G22" s="54">
        <v>0</v>
      </c>
      <c r="H22" s="54" cm="1">
        <f t="array" ref="H22">E22*F22</f>
        <v>0</v>
      </c>
      <c r="I22" s="54" cm="1">
        <f t="array" ref="I22">E22-H22</f>
        <v>45000</v>
      </c>
      <c r="J22" s="54" cm="1">
        <f t="array" ref="J22">H22-G22</f>
        <v>0</v>
      </c>
      <c r="K22" s="66"/>
      <c r="L22" s="95"/>
      <c r="M22" s="99"/>
      <c r="N22" s="97">
        <v>0</v>
      </c>
      <c r="O22" s="97">
        <v>0</v>
      </c>
      <c r="P22" s="70"/>
      <c r="Q22" s="101">
        <v>0.1</v>
      </c>
      <c r="R22" s="20" t="s">
        <v>68</v>
      </c>
      <c r="S22" s="21"/>
      <c r="T22" s="102" cm="1">
        <f t="array" ref="T22">V19*Q22</f>
        <v>0</v>
      </c>
      <c r="U22" s="26"/>
      <c r="V22" s="100"/>
    </row>
    <row r="23" spans="1:22" ht="15" customHeight="1" x14ac:dyDescent="0.25">
      <c r="A23" s="39"/>
      <c r="B23" s="52" t="s">
        <v>54</v>
      </c>
      <c r="C23" s="52" t="s">
        <v>58</v>
      </c>
      <c r="D23" s="58" t="s">
        <v>69</v>
      </c>
      <c r="E23" s="161">
        <v>10000</v>
      </c>
      <c r="F23" s="55">
        <v>0</v>
      </c>
      <c r="G23" s="54">
        <v>0</v>
      </c>
      <c r="H23" s="54" cm="1">
        <f t="array" ref="H23">E23*F23</f>
        <v>0</v>
      </c>
      <c r="I23" s="54" cm="1">
        <f t="array" ref="I23">E23-H23</f>
        <v>10000</v>
      </c>
      <c r="J23" s="54" cm="1">
        <f t="array" ref="J23">H23-G23</f>
        <v>0</v>
      </c>
      <c r="K23" s="66"/>
      <c r="L23" s="95"/>
      <c r="M23" s="99"/>
      <c r="N23" s="97">
        <v>0</v>
      </c>
      <c r="O23" s="97">
        <v>0</v>
      </c>
      <c r="P23" s="70"/>
      <c r="Q23" s="17"/>
      <c r="R23" s="20" t="s">
        <v>70</v>
      </c>
      <c r="S23" s="21"/>
      <c r="T23" s="103" t="s">
        <v>71</v>
      </c>
      <c r="U23" s="26"/>
      <c r="V23" s="100"/>
    </row>
    <row r="24" spans="1:22" ht="15" customHeight="1" x14ac:dyDescent="0.25">
      <c r="A24" s="39"/>
      <c r="B24" s="52" t="s">
        <v>51</v>
      </c>
      <c r="C24" s="52" t="s">
        <v>58</v>
      </c>
      <c r="D24" s="58" t="s">
        <v>72</v>
      </c>
      <c r="E24" s="161">
        <v>4500</v>
      </c>
      <c r="F24" s="55">
        <v>0</v>
      </c>
      <c r="G24" s="54">
        <v>0</v>
      </c>
      <c r="H24" s="54" cm="1">
        <f t="array" ref="H24">E24*F24</f>
        <v>0</v>
      </c>
      <c r="I24" s="54" cm="1">
        <f t="array" ref="I24">E24-H24</f>
        <v>4500</v>
      </c>
      <c r="J24" s="54" cm="1">
        <f t="array" ref="J24">H24-G24</f>
        <v>0</v>
      </c>
      <c r="K24" s="66"/>
      <c r="L24" s="95"/>
      <c r="M24" s="99"/>
      <c r="N24" s="97">
        <v>0</v>
      </c>
      <c r="O24" s="97">
        <v>0</v>
      </c>
      <c r="P24" s="70"/>
      <c r="Q24" s="25" t="s">
        <v>73</v>
      </c>
      <c r="R24" s="21"/>
      <c r="S24" s="21"/>
      <c r="T24" s="21"/>
      <c r="U24" s="26"/>
      <c r="V24" s="100"/>
    </row>
    <row r="25" spans="1:22" ht="15" customHeight="1" x14ac:dyDescent="0.25">
      <c r="A25" s="39"/>
      <c r="B25" s="52" t="s">
        <v>54</v>
      </c>
      <c r="C25" s="52" t="s">
        <v>58</v>
      </c>
      <c r="D25" s="58" t="s">
        <v>72</v>
      </c>
      <c r="E25" s="161">
        <v>2500</v>
      </c>
      <c r="F25" s="55">
        <v>0</v>
      </c>
      <c r="G25" s="54">
        <v>0</v>
      </c>
      <c r="H25" s="54" cm="1">
        <f t="array" ref="H25">E25*F25</f>
        <v>0</v>
      </c>
      <c r="I25" s="54" cm="1">
        <f t="array" ref="I25">E25-H25</f>
        <v>2500</v>
      </c>
      <c r="J25" s="54" cm="1">
        <f t="array" ref="J25">H25-G25</f>
        <v>0</v>
      </c>
      <c r="K25" s="66"/>
      <c r="L25" s="95"/>
      <c r="M25" s="99"/>
      <c r="N25" s="97">
        <v>0</v>
      </c>
      <c r="O25" s="97">
        <v>0</v>
      </c>
      <c r="P25" s="70"/>
      <c r="Q25" s="25" t="s">
        <v>74</v>
      </c>
      <c r="R25" s="21"/>
      <c r="S25" s="21"/>
      <c r="T25" s="21"/>
      <c r="U25" s="26"/>
      <c r="V25" s="81" cm="1">
        <f t="array" ref="V25">T22</f>
        <v>0</v>
      </c>
    </row>
    <row r="26" spans="1:22" ht="15" customHeight="1" x14ac:dyDescent="0.25">
      <c r="A26" s="39"/>
      <c r="B26" s="52" t="s">
        <v>51</v>
      </c>
      <c r="C26" s="52" t="s">
        <v>58</v>
      </c>
      <c r="D26" s="58" t="s">
        <v>75</v>
      </c>
      <c r="E26" s="161">
        <v>1800</v>
      </c>
      <c r="F26" s="55">
        <v>0</v>
      </c>
      <c r="G26" s="54">
        <v>0</v>
      </c>
      <c r="H26" s="54" cm="1">
        <f t="array" ref="H26">E26*F26</f>
        <v>0</v>
      </c>
      <c r="I26" s="54" cm="1">
        <f t="array" ref="I26">E26-H26</f>
        <v>1800</v>
      </c>
      <c r="J26" s="54" cm="1">
        <f t="array" ref="J26">H26-G26</f>
        <v>0</v>
      </c>
      <c r="K26" s="66"/>
      <c r="L26" s="95"/>
      <c r="M26" s="99"/>
      <c r="N26" s="97">
        <v>0</v>
      </c>
      <c r="O26" s="97">
        <v>0</v>
      </c>
      <c r="P26" s="70"/>
      <c r="Q26" s="25" t="s">
        <v>76</v>
      </c>
      <c r="R26" s="21"/>
      <c r="S26" s="21"/>
      <c r="T26" s="21"/>
      <c r="U26" s="26"/>
      <c r="V26" s="86" cm="1">
        <f t="array" ref="V26">V19-V25</f>
        <v>0</v>
      </c>
    </row>
    <row r="27" spans="1:22" ht="15" customHeight="1" x14ac:dyDescent="0.25">
      <c r="A27" s="39"/>
      <c r="B27" s="52" t="s">
        <v>54</v>
      </c>
      <c r="C27" s="52" t="s">
        <v>58</v>
      </c>
      <c r="D27" s="58" t="s">
        <v>75</v>
      </c>
      <c r="E27" s="161">
        <v>1200</v>
      </c>
      <c r="F27" s="55">
        <v>0</v>
      </c>
      <c r="G27" s="54">
        <v>0</v>
      </c>
      <c r="H27" s="54" cm="1">
        <f t="array" ref="H27">E27*F27</f>
        <v>0</v>
      </c>
      <c r="I27" s="54" cm="1">
        <f t="array" ref="I27">E27-H27</f>
        <v>1200</v>
      </c>
      <c r="J27" s="54" cm="1">
        <f t="array" ref="J27">H27-G27</f>
        <v>0</v>
      </c>
      <c r="K27" s="66"/>
      <c r="L27" s="95"/>
      <c r="M27" s="99"/>
      <c r="N27" s="97">
        <v>0</v>
      </c>
      <c r="O27" s="97">
        <v>0</v>
      </c>
      <c r="P27" s="70"/>
      <c r="Q27" s="26"/>
      <c r="R27" s="20" t="s">
        <v>77</v>
      </c>
      <c r="S27" s="21"/>
      <c r="T27" s="21"/>
      <c r="U27" s="26"/>
      <c r="V27" s="98"/>
    </row>
    <row r="28" spans="1:22" ht="15" customHeight="1" x14ac:dyDescent="0.25">
      <c r="A28" s="39"/>
      <c r="B28" s="52" t="s">
        <v>51</v>
      </c>
      <c r="C28" s="52" t="s">
        <v>58</v>
      </c>
      <c r="D28" s="58" t="s">
        <v>78</v>
      </c>
      <c r="E28" s="161">
        <v>27000</v>
      </c>
      <c r="F28" s="55">
        <v>0</v>
      </c>
      <c r="G28" s="54">
        <v>0</v>
      </c>
      <c r="H28" s="54" cm="1">
        <f t="array" ref="H28">E28*F28</f>
        <v>0</v>
      </c>
      <c r="I28" s="54" cm="1">
        <f t="array" ref="I28">E28-H28</f>
        <v>27000</v>
      </c>
      <c r="J28" s="54" cm="1">
        <f t="array" ref="J28">H28-G28</f>
        <v>0</v>
      </c>
      <c r="K28" s="66"/>
      <c r="L28" s="95"/>
      <c r="M28" s="99"/>
      <c r="N28" s="97">
        <v>0</v>
      </c>
      <c r="O28" s="97">
        <v>0</v>
      </c>
      <c r="P28" s="70"/>
      <c r="Q28" s="25" t="s">
        <v>79</v>
      </c>
      <c r="R28" s="21"/>
      <c r="S28" s="21"/>
      <c r="T28" s="21"/>
      <c r="U28" s="26"/>
      <c r="V28" s="81">
        <v>0</v>
      </c>
    </row>
    <row r="29" spans="1:22" ht="15" customHeight="1" x14ac:dyDescent="0.25">
      <c r="A29" s="39"/>
      <c r="B29" s="52" t="s">
        <v>54</v>
      </c>
      <c r="C29" s="52" t="s">
        <v>58</v>
      </c>
      <c r="D29" s="58" t="s">
        <v>78</v>
      </c>
      <c r="E29" s="161">
        <v>8000</v>
      </c>
      <c r="F29" s="55">
        <v>0</v>
      </c>
      <c r="G29" s="54">
        <v>0</v>
      </c>
      <c r="H29" s="54" cm="1">
        <f t="array" ref="H29">E29*F29</f>
        <v>0</v>
      </c>
      <c r="I29" s="54" cm="1">
        <f t="array" ref="I29">E29-H29</f>
        <v>8000</v>
      </c>
      <c r="J29" s="54" cm="1">
        <f t="array" ref="J29">H29-G29</f>
        <v>0</v>
      </c>
      <c r="K29" s="66"/>
      <c r="L29" s="95"/>
      <c r="M29" s="99"/>
      <c r="N29" s="97">
        <v>0</v>
      </c>
      <c r="O29" s="97">
        <v>0</v>
      </c>
      <c r="P29" s="70"/>
      <c r="Q29" s="26"/>
      <c r="R29" s="20" t="s">
        <v>80</v>
      </c>
      <c r="S29" s="21"/>
      <c r="T29" s="21"/>
      <c r="U29" s="26"/>
      <c r="V29" s="98"/>
    </row>
    <row r="30" spans="1:22" ht="15" customHeight="1" x14ac:dyDescent="0.25">
      <c r="A30" s="39"/>
      <c r="B30" s="52" t="s">
        <v>51</v>
      </c>
      <c r="C30" s="52" t="s">
        <v>58</v>
      </c>
      <c r="D30" s="58" t="s">
        <v>81</v>
      </c>
      <c r="E30" s="161">
        <v>27000</v>
      </c>
      <c r="F30" s="55">
        <v>0</v>
      </c>
      <c r="G30" s="54">
        <v>0</v>
      </c>
      <c r="H30" s="54" cm="1">
        <f t="array" ref="H30">E30*F30</f>
        <v>0</v>
      </c>
      <c r="I30" s="54" cm="1">
        <f t="array" ref="I30">E30-H30</f>
        <v>27000</v>
      </c>
      <c r="J30" s="54" cm="1">
        <f t="array" ref="J30">H30-G30</f>
        <v>0</v>
      </c>
      <c r="K30" s="66"/>
      <c r="L30" s="95"/>
      <c r="M30" s="99"/>
      <c r="N30" s="97">
        <v>0</v>
      </c>
      <c r="O30" s="97">
        <v>0</v>
      </c>
      <c r="P30" s="70"/>
      <c r="Q30" s="25" t="s">
        <v>82</v>
      </c>
      <c r="R30" s="21"/>
      <c r="S30" s="21"/>
      <c r="T30" s="21"/>
      <c r="U30" s="26"/>
      <c r="V30" s="81" cm="1">
        <f t="array" ref="V30">V19-V25-V28</f>
        <v>0</v>
      </c>
    </row>
    <row r="31" spans="1:22" ht="15" customHeight="1" x14ac:dyDescent="0.25">
      <c r="A31" s="39"/>
      <c r="B31" s="52" t="s">
        <v>54</v>
      </c>
      <c r="C31" s="52" t="s">
        <v>58</v>
      </c>
      <c r="D31" s="58" t="s">
        <v>81</v>
      </c>
      <c r="E31" s="161">
        <v>11000</v>
      </c>
      <c r="F31" s="55">
        <v>0</v>
      </c>
      <c r="G31" s="54">
        <v>0</v>
      </c>
      <c r="H31" s="54" cm="1">
        <f t="array" ref="H31">E31*F31</f>
        <v>0</v>
      </c>
      <c r="I31" s="54" cm="1">
        <f t="array" ref="I31">E31-H31</f>
        <v>11000</v>
      </c>
      <c r="J31" s="54" cm="1">
        <f t="array" ref="J31">H31-G31</f>
        <v>0</v>
      </c>
      <c r="K31" s="66"/>
      <c r="L31" s="95"/>
      <c r="M31" s="99"/>
      <c r="N31" s="97" cm="1">
        <f t="array" ref="N31">SUM(N20:N30)</f>
        <v>0</v>
      </c>
      <c r="O31" s="97" cm="1">
        <f t="array" ref="O31">SUM(O20:O30)</f>
        <v>0</v>
      </c>
      <c r="P31" s="70"/>
      <c r="Q31" s="25" t="s">
        <v>83</v>
      </c>
      <c r="R31" s="21"/>
      <c r="S31" s="21"/>
      <c r="T31" s="21"/>
      <c r="U31" s="26"/>
      <c r="V31" s="86" cm="1">
        <f t="array" ref="V31">V18-V26</f>
        <v>996000</v>
      </c>
    </row>
    <row r="32" spans="1:22" ht="15" customHeight="1" x14ac:dyDescent="0.25">
      <c r="A32" s="39"/>
      <c r="B32" s="52" t="s">
        <v>51</v>
      </c>
      <c r="C32" s="52" t="s">
        <v>58</v>
      </c>
      <c r="D32" s="58" t="s">
        <v>84</v>
      </c>
      <c r="E32" s="161">
        <v>18000</v>
      </c>
      <c r="F32" s="55">
        <v>0</v>
      </c>
      <c r="G32" s="54">
        <v>0</v>
      </c>
      <c r="H32" s="54" cm="1">
        <f t="array" ref="H32">E32*F32</f>
        <v>0</v>
      </c>
      <c r="I32" s="54" cm="1">
        <f t="array" ref="I32">E32-H32</f>
        <v>18000</v>
      </c>
      <c r="J32" s="54" cm="1">
        <f t="array" ref="J32">H32-G32</f>
        <v>0</v>
      </c>
      <c r="K32" s="66"/>
      <c r="L32" s="148" t="s">
        <v>85</v>
      </c>
      <c r="M32" s="149"/>
      <c r="N32" s="61" cm="1">
        <f t="array" ref="N32">N31</f>
        <v>0</v>
      </c>
      <c r="O32" s="104"/>
      <c r="P32" s="105"/>
      <c r="Q32" s="59" t="s">
        <v>86</v>
      </c>
      <c r="R32" s="106" t="s">
        <v>87</v>
      </c>
      <c r="S32" s="10"/>
      <c r="T32" s="10"/>
      <c r="U32" s="11"/>
      <c r="V32" s="61"/>
    </row>
    <row r="33" spans="1:22" ht="15" customHeight="1" x14ac:dyDescent="0.25">
      <c r="A33" s="39"/>
      <c r="B33" s="52" t="s">
        <v>54</v>
      </c>
      <c r="C33" s="52" t="s">
        <v>58</v>
      </c>
      <c r="D33" s="58" t="s">
        <v>88</v>
      </c>
      <c r="E33" s="161">
        <v>10000</v>
      </c>
      <c r="F33" s="55">
        <v>0</v>
      </c>
      <c r="G33" s="54">
        <v>0</v>
      </c>
      <c r="H33" s="54" cm="1">
        <f t="array" ref="H33">E33*F33</f>
        <v>0</v>
      </c>
      <c r="I33" s="54" cm="1">
        <f t="array" ref="I33">E33-H33</f>
        <v>10000</v>
      </c>
      <c r="J33" s="54" cm="1">
        <f t="array" ref="J33">H33-G33</f>
        <v>0</v>
      </c>
      <c r="K33" s="107"/>
      <c r="L33" s="108" t="s">
        <v>89</v>
      </c>
      <c r="M33" s="18"/>
      <c r="N33" s="18"/>
      <c r="O33" s="18"/>
      <c r="P33" s="109"/>
      <c r="Q33" s="108" t="s">
        <v>90</v>
      </c>
      <c r="R33" s="18"/>
      <c r="S33" s="18"/>
      <c r="T33" s="18"/>
      <c r="U33" s="156" t="s">
        <v>91</v>
      </c>
      <c r="V33" s="157"/>
    </row>
    <row r="34" spans="1:22" ht="24" customHeight="1" x14ac:dyDescent="0.5">
      <c r="A34" s="39"/>
      <c r="B34" s="52" t="s">
        <v>51</v>
      </c>
      <c r="C34" s="52" t="s">
        <v>58</v>
      </c>
      <c r="D34" s="58" t="s">
        <v>92</v>
      </c>
      <c r="E34" s="161">
        <v>9000</v>
      </c>
      <c r="F34" s="55">
        <v>0</v>
      </c>
      <c r="G34" s="54">
        <v>0</v>
      </c>
      <c r="H34" s="54" cm="1">
        <f t="array" ref="H34">E34*F34</f>
        <v>0</v>
      </c>
      <c r="I34" s="54" cm="1">
        <f t="array" ref="I34">E34-H34</f>
        <v>9000</v>
      </c>
      <c r="J34" s="54" cm="1">
        <f t="array" ref="J34">H34-G34</f>
        <v>0</v>
      </c>
      <c r="K34" s="107"/>
      <c r="L34" s="110" t="s">
        <v>93</v>
      </c>
      <c r="M34" s="111" t="s">
        <v>94</v>
      </c>
      <c r="N34" s="34"/>
      <c r="O34" s="112" t="s">
        <v>95</v>
      </c>
      <c r="P34" s="113"/>
      <c r="Q34" s="114"/>
      <c r="R34" s="20" t="s">
        <v>96</v>
      </c>
      <c r="S34" s="21"/>
      <c r="T34" s="21"/>
      <c r="U34" s="26"/>
      <c r="V34" s="115"/>
    </row>
    <row r="35" spans="1:22" ht="14.5" customHeight="1" x14ac:dyDescent="0.25">
      <c r="A35" s="39"/>
      <c r="B35" s="52" t="s">
        <v>54</v>
      </c>
      <c r="C35" s="52" t="s">
        <v>58</v>
      </c>
      <c r="D35" s="58" t="s">
        <v>92</v>
      </c>
      <c r="E35" s="161">
        <v>5000</v>
      </c>
      <c r="F35" s="55">
        <v>0</v>
      </c>
      <c r="G35" s="54">
        <v>0</v>
      </c>
      <c r="H35" s="54" cm="1">
        <f t="array" ref="H35">E35*F35</f>
        <v>0</v>
      </c>
      <c r="I35" s="54" cm="1">
        <f t="array" ref="I35">E35-H35</f>
        <v>5000</v>
      </c>
      <c r="J35" s="54" cm="1">
        <f t="array" ref="J35">H35-G35</f>
        <v>0</v>
      </c>
      <c r="K35" s="107"/>
      <c r="L35" s="116"/>
      <c r="M35" s="60" t="s">
        <v>94</v>
      </c>
      <c r="N35" s="117"/>
      <c r="O35" s="60" t="s">
        <v>97</v>
      </c>
      <c r="P35" s="118"/>
      <c r="Q35" s="116"/>
      <c r="R35" s="10"/>
      <c r="S35" s="10"/>
      <c r="T35" s="10"/>
      <c r="U35" s="11"/>
      <c r="V35" s="119"/>
    </row>
    <row r="36" spans="1:22" ht="18" customHeight="1" x14ac:dyDescent="0.25">
      <c r="A36" s="39"/>
      <c r="B36" s="52" t="s">
        <v>51</v>
      </c>
      <c r="C36" s="52" t="s">
        <v>58</v>
      </c>
      <c r="D36" s="58" t="s">
        <v>98</v>
      </c>
      <c r="E36" s="161">
        <v>13500</v>
      </c>
      <c r="F36" s="55">
        <v>0</v>
      </c>
      <c r="G36" s="54">
        <v>0</v>
      </c>
      <c r="H36" s="54" cm="1">
        <f t="array" ref="H36">E36*F36</f>
        <v>0</v>
      </c>
      <c r="I36" s="54" cm="1">
        <f t="array" ref="I36">E36-H36</f>
        <v>13500</v>
      </c>
      <c r="J36" s="54" cm="1">
        <f t="array" ref="J36">H36-G36</f>
        <v>0</v>
      </c>
      <c r="K36" s="43"/>
      <c r="L36" s="120"/>
      <c r="M36" s="121"/>
      <c r="N36" s="121"/>
      <c r="O36" s="121"/>
      <c r="P36" s="121"/>
      <c r="Q36" s="120"/>
      <c r="R36" s="121"/>
      <c r="S36" s="121"/>
      <c r="T36" s="121"/>
      <c r="U36" s="120"/>
      <c r="V36" s="121"/>
    </row>
    <row r="37" spans="1:22" ht="19.5" customHeight="1" x14ac:dyDescent="0.25">
      <c r="A37" s="39"/>
      <c r="B37" s="52" t="s">
        <v>54</v>
      </c>
      <c r="C37" s="52" t="s">
        <v>58</v>
      </c>
      <c r="D37" s="58" t="s">
        <v>98</v>
      </c>
      <c r="E37" s="161">
        <v>4000</v>
      </c>
      <c r="F37" s="55">
        <v>0</v>
      </c>
      <c r="G37" s="54">
        <v>0</v>
      </c>
      <c r="H37" s="54" cm="1">
        <f t="array" ref="H37">E37*F37</f>
        <v>0</v>
      </c>
      <c r="I37" s="54" cm="1">
        <f t="array" ref="I37">E37-H37</f>
        <v>4000</v>
      </c>
      <c r="J37" s="54" cm="1">
        <f t="array" ref="J37">H37-G37</f>
        <v>0</v>
      </c>
      <c r="K37" s="43"/>
      <c r="L37" s="8"/>
      <c r="M37" s="2"/>
      <c r="N37" s="2"/>
      <c r="O37" s="2"/>
      <c r="P37" s="2"/>
      <c r="Q37" s="8"/>
      <c r="R37" s="2"/>
      <c r="S37" s="2"/>
      <c r="T37" s="2"/>
      <c r="U37" s="8"/>
      <c r="V37" s="2"/>
    </row>
    <row r="38" spans="1:22" ht="15" customHeight="1" x14ac:dyDescent="0.25">
      <c r="A38" s="39"/>
      <c r="B38" s="52" t="s">
        <v>51</v>
      </c>
      <c r="C38" s="52" t="s">
        <v>58</v>
      </c>
      <c r="D38" s="58" t="s">
        <v>99</v>
      </c>
      <c r="E38" s="161">
        <v>49500</v>
      </c>
      <c r="F38" s="55">
        <v>0</v>
      </c>
      <c r="G38" s="54">
        <v>0</v>
      </c>
      <c r="H38" s="54" cm="1">
        <f t="array" ref="H38">E38*F38</f>
        <v>0</v>
      </c>
      <c r="I38" s="54" cm="1">
        <f t="array" ref="I38">E38-H38</f>
        <v>49500</v>
      </c>
      <c r="J38" s="54" cm="1">
        <f t="array" ref="J38">H38-G38</f>
        <v>0</v>
      </c>
      <c r="K38" s="43"/>
      <c r="L38" s="8"/>
      <c r="M38" s="2"/>
      <c r="N38" s="2"/>
      <c r="O38" s="2"/>
      <c r="P38" s="2"/>
      <c r="Q38" s="8"/>
      <c r="R38" s="2"/>
      <c r="S38" s="2"/>
      <c r="T38" s="2"/>
      <c r="U38" s="8"/>
      <c r="V38" s="2"/>
    </row>
    <row r="39" spans="1:22" ht="14" customHeight="1" x14ac:dyDescent="0.25">
      <c r="A39" s="39"/>
      <c r="B39" s="52" t="s">
        <v>54</v>
      </c>
      <c r="C39" s="52" t="s">
        <v>58</v>
      </c>
      <c r="D39" s="58" t="s">
        <v>99</v>
      </c>
      <c r="E39" s="161">
        <v>20500</v>
      </c>
      <c r="F39" s="55">
        <v>0</v>
      </c>
      <c r="G39" s="54">
        <v>0</v>
      </c>
      <c r="H39" s="54" cm="1">
        <f t="array" ref="H39">E39*F39</f>
        <v>0</v>
      </c>
      <c r="I39" s="54" cm="1">
        <f t="array" ref="I39">E39-H39</f>
        <v>20500</v>
      </c>
      <c r="J39" s="54" cm="1">
        <f t="array" ref="J39">H39-G39</f>
        <v>0</v>
      </c>
      <c r="K39" s="43"/>
      <c r="L39" s="8"/>
      <c r="M39" s="2"/>
      <c r="N39" s="2"/>
      <c r="O39" s="2"/>
      <c r="P39" s="2"/>
      <c r="Q39" s="8"/>
      <c r="R39" s="2"/>
      <c r="S39" s="2"/>
      <c r="T39" s="2"/>
      <c r="U39" s="8"/>
      <c r="V39" s="2"/>
    </row>
    <row r="40" spans="1:22" ht="14" customHeight="1" x14ac:dyDescent="0.25">
      <c r="A40" s="39"/>
      <c r="B40" s="52" t="s">
        <v>51</v>
      </c>
      <c r="C40" s="52" t="s">
        <v>58</v>
      </c>
      <c r="D40" s="58" t="s">
        <v>100</v>
      </c>
      <c r="E40" s="161">
        <v>36000</v>
      </c>
      <c r="F40" s="55">
        <v>0</v>
      </c>
      <c r="G40" s="54">
        <v>0</v>
      </c>
      <c r="H40" s="54" cm="1">
        <f t="array" ref="H40">E40*F40</f>
        <v>0</v>
      </c>
      <c r="I40" s="54" cm="1">
        <f t="array" ref="I40">E40-H40</f>
        <v>36000</v>
      </c>
      <c r="J40" s="54" cm="1">
        <f t="array" ref="J40">H40-G40</f>
        <v>0</v>
      </c>
      <c r="K40" s="43"/>
      <c r="L40" s="8"/>
      <c r="M40" s="2"/>
      <c r="N40" s="2"/>
      <c r="O40" s="2"/>
      <c r="P40" s="2"/>
      <c r="Q40" s="8"/>
      <c r="R40" s="2"/>
      <c r="S40" s="2"/>
      <c r="T40" s="2"/>
      <c r="U40" s="8"/>
      <c r="V40" s="2"/>
    </row>
    <row r="41" spans="1:22" ht="14" customHeight="1" x14ac:dyDescent="0.25">
      <c r="A41" s="39"/>
      <c r="B41" s="52" t="s">
        <v>54</v>
      </c>
      <c r="C41" s="52" t="s">
        <v>58</v>
      </c>
      <c r="D41" s="58" t="s">
        <v>100</v>
      </c>
      <c r="E41" s="161">
        <v>19000</v>
      </c>
      <c r="F41" s="55">
        <v>0</v>
      </c>
      <c r="G41" s="54">
        <v>0</v>
      </c>
      <c r="H41" s="54" cm="1">
        <f t="array" ref="H41">E41*F41</f>
        <v>0</v>
      </c>
      <c r="I41" s="54" cm="1">
        <f t="array" ref="I41">E41-H41</f>
        <v>19000</v>
      </c>
      <c r="J41" s="54" cm="1">
        <f t="array" ref="J41">H41-G41</f>
        <v>0</v>
      </c>
      <c r="K41" s="43"/>
      <c r="L41" s="8"/>
      <c r="M41" s="2"/>
      <c r="N41" s="2"/>
      <c r="O41" s="2"/>
      <c r="P41" s="2"/>
      <c r="Q41" s="8"/>
      <c r="R41" s="2"/>
      <c r="S41" s="2"/>
      <c r="T41" s="2"/>
      <c r="U41" s="8"/>
      <c r="V41" s="2"/>
    </row>
    <row r="42" spans="1:22" ht="14" customHeight="1" x14ac:dyDescent="0.25">
      <c r="A42" s="39"/>
      <c r="B42" s="52" t="s">
        <v>51</v>
      </c>
      <c r="C42" s="52" t="s">
        <v>58</v>
      </c>
      <c r="D42" s="58" t="s">
        <v>101</v>
      </c>
      <c r="E42" s="161">
        <v>18000</v>
      </c>
      <c r="F42" s="55">
        <v>0</v>
      </c>
      <c r="G42" s="54">
        <v>0</v>
      </c>
      <c r="H42" s="54" cm="1">
        <f t="array" ref="H42">E42*F42</f>
        <v>0</v>
      </c>
      <c r="I42" s="54" cm="1">
        <f t="array" ref="I42">E42-H42</f>
        <v>18000</v>
      </c>
      <c r="J42" s="54" cm="1">
        <f t="array" ref="J42">H42-G42</f>
        <v>0</v>
      </c>
      <c r="K42" s="43"/>
      <c r="L42" s="8"/>
      <c r="M42" s="2"/>
      <c r="N42" s="2"/>
      <c r="O42" s="2"/>
      <c r="P42" s="2"/>
      <c r="Q42" s="8"/>
      <c r="R42" s="2"/>
      <c r="S42" s="2"/>
      <c r="T42" s="2"/>
      <c r="U42" s="8"/>
      <c r="V42" s="2"/>
    </row>
    <row r="43" spans="1:22" ht="15" customHeight="1" x14ac:dyDescent="0.25">
      <c r="A43" s="39"/>
      <c r="B43" s="52" t="s">
        <v>54</v>
      </c>
      <c r="C43" s="52" t="s">
        <v>58</v>
      </c>
      <c r="D43" s="58" t="s">
        <v>101</v>
      </c>
      <c r="E43" s="161">
        <v>7000</v>
      </c>
      <c r="F43" s="55">
        <v>0</v>
      </c>
      <c r="G43" s="54">
        <v>0</v>
      </c>
      <c r="H43" s="54" cm="1">
        <f t="array" ref="H43">E43*F43</f>
        <v>0</v>
      </c>
      <c r="I43" s="54" cm="1">
        <f t="array" ref="I43">E43-H43</f>
        <v>7000</v>
      </c>
      <c r="J43" s="54" cm="1">
        <f t="array" ref="J43">H43-G43</f>
        <v>0</v>
      </c>
      <c r="K43" s="43"/>
      <c r="L43" s="8"/>
      <c r="M43" s="2"/>
      <c r="N43" s="2"/>
      <c r="O43" s="2"/>
      <c r="P43" s="2"/>
      <c r="Q43" s="8"/>
      <c r="R43" s="2"/>
      <c r="S43" s="2"/>
      <c r="T43" s="2"/>
      <c r="U43" s="8"/>
      <c r="V43" s="2"/>
    </row>
    <row r="44" spans="1:22" ht="14" customHeight="1" x14ac:dyDescent="0.25">
      <c r="A44" s="39"/>
      <c r="B44" s="52" t="s">
        <v>51</v>
      </c>
      <c r="C44" s="52" t="s">
        <v>58</v>
      </c>
      <c r="D44" s="58" t="s">
        <v>102</v>
      </c>
      <c r="E44" s="161">
        <v>9000</v>
      </c>
      <c r="F44" s="55">
        <v>0</v>
      </c>
      <c r="G44" s="54">
        <v>0</v>
      </c>
      <c r="H44" s="54" cm="1">
        <f t="array" ref="H44">E44*F44</f>
        <v>0</v>
      </c>
      <c r="I44" s="54" cm="1">
        <f t="array" ref="I44">E44-H44</f>
        <v>9000</v>
      </c>
      <c r="J44" s="54" cm="1">
        <f t="array" ref="J44">H44-G44</f>
        <v>0</v>
      </c>
      <c r="K44" s="43"/>
      <c r="L44" s="8"/>
      <c r="M44" s="2"/>
      <c r="N44" s="2"/>
      <c r="O44" s="2"/>
      <c r="P44" s="2"/>
      <c r="Q44" s="8"/>
      <c r="R44" s="2"/>
      <c r="S44" s="2"/>
      <c r="T44" s="2"/>
      <c r="U44" s="8"/>
      <c r="V44" s="2"/>
    </row>
    <row r="45" spans="1:22" ht="14" customHeight="1" x14ac:dyDescent="0.25">
      <c r="A45" s="39"/>
      <c r="B45" s="52" t="s">
        <v>54</v>
      </c>
      <c r="C45" s="52" t="s">
        <v>58</v>
      </c>
      <c r="D45" s="58" t="s">
        <v>102</v>
      </c>
      <c r="E45" s="161">
        <v>3000</v>
      </c>
      <c r="F45" s="55">
        <v>0</v>
      </c>
      <c r="G45" s="54">
        <v>0</v>
      </c>
      <c r="H45" s="54" cm="1">
        <f t="array" ref="H45">E45*F45</f>
        <v>0</v>
      </c>
      <c r="I45" s="54" cm="1">
        <f t="array" ref="I45">E45-H45</f>
        <v>3000</v>
      </c>
      <c r="J45" s="54" cm="1">
        <f t="array" ref="J45">H45-G45</f>
        <v>0</v>
      </c>
      <c r="K45" s="43"/>
      <c r="L45" s="8"/>
      <c r="M45" s="2"/>
      <c r="N45" s="2"/>
      <c r="O45" s="2"/>
      <c r="P45" s="2"/>
      <c r="Q45" s="8"/>
      <c r="R45" s="2"/>
      <c r="S45" s="2"/>
      <c r="T45" s="2"/>
      <c r="U45" s="8"/>
      <c r="V45" s="2"/>
    </row>
    <row r="46" spans="1:22" ht="14" customHeight="1" x14ac:dyDescent="0.25">
      <c r="A46" s="39"/>
      <c r="B46" s="52" t="s">
        <v>51</v>
      </c>
      <c r="C46" s="52" t="s">
        <v>58</v>
      </c>
      <c r="D46" s="58" t="s">
        <v>103</v>
      </c>
      <c r="E46" s="161">
        <v>13500</v>
      </c>
      <c r="F46" s="55">
        <v>0</v>
      </c>
      <c r="G46" s="54">
        <v>0</v>
      </c>
      <c r="H46" s="54" cm="1">
        <f t="array" ref="H46">E46*F46</f>
        <v>0</v>
      </c>
      <c r="I46" s="54" cm="1">
        <f t="array" ref="I46">E46-H46</f>
        <v>13500</v>
      </c>
      <c r="J46" s="54" cm="1">
        <f t="array" ref="J46">H46-G46</f>
        <v>0</v>
      </c>
      <c r="K46" s="43"/>
      <c r="L46" s="8"/>
      <c r="M46" s="2"/>
      <c r="N46" s="2"/>
      <c r="O46" s="2"/>
      <c r="P46" s="2"/>
      <c r="Q46" s="8"/>
      <c r="R46" s="2"/>
      <c r="S46" s="2"/>
      <c r="T46" s="2"/>
      <c r="U46" s="8"/>
      <c r="V46" s="2"/>
    </row>
    <row r="47" spans="1:22" ht="14" customHeight="1" x14ac:dyDescent="0.25">
      <c r="A47" s="39"/>
      <c r="B47" s="52" t="s">
        <v>54</v>
      </c>
      <c r="C47" s="52" t="s">
        <v>58</v>
      </c>
      <c r="D47" s="58" t="s">
        <v>103</v>
      </c>
      <c r="E47" s="161">
        <v>4000</v>
      </c>
      <c r="F47" s="55">
        <v>0</v>
      </c>
      <c r="G47" s="54">
        <v>0</v>
      </c>
      <c r="H47" s="54" cm="1">
        <f t="array" ref="H47">E47*F47</f>
        <v>0</v>
      </c>
      <c r="I47" s="54" cm="1">
        <f t="array" ref="I47">E47-H47</f>
        <v>4000</v>
      </c>
      <c r="J47" s="54" cm="1">
        <f t="array" ref="J47">H47-G47</f>
        <v>0</v>
      </c>
      <c r="K47" s="43"/>
      <c r="L47" s="8"/>
      <c r="M47" s="2"/>
      <c r="N47" s="2"/>
      <c r="O47" s="2"/>
      <c r="P47" s="2"/>
      <c r="Q47" s="8"/>
      <c r="R47" s="2"/>
      <c r="S47" s="2"/>
      <c r="T47" s="2"/>
      <c r="U47" s="8"/>
      <c r="V47" s="2"/>
    </row>
    <row r="48" spans="1:22" ht="14" customHeight="1" x14ac:dyDescent="0.25">
      <c r="A48" s="39"/>
      <c r="B48" s="52" t="s">
        <v>51</v>
      </c>
      <c r="C48" s="52" t="s">
        <v>58</v>
      </c>
      <c r="D48" s="58" t="s">
        <v>104</v>
      </c>
      <c r="E48" s="161">
        <v>49500</v>
      </c>
      <c r="F48" s="55">
        <v>0</v>
      </c>
      <c r="G48" s="54">
        <v>0</v>
      </c>
      <c r="H48" s="54" cm="1">
        <f t="array" ref="H48">E48*F48</f>
        <v>0</v>
      </c>
      <c r="I48" s="54" cm="1">
        <f t="array" ref="I48">E48-H48</f>
        <v>49500</v>
      </c>
      <c r="J48" s="54" cm="1">
        <f t="array" ref="J48">H48-G48</f>
        <v>0</v>
      </c>
      <c r="K48" s="43"/>
      <c r="L48" s="8"/>
      <c r="M48" s="2"/>
      <c r="N48" s="2"/>
      <c r="O48" s="2"/>
      <c r="P48" s="2"/>
      <c r="Q48" s="8"/>
      <c r="R48" s="2"/>
      <c r="S48" s="2"/>
      <c r="T48" s="2"/>
      <c r="U48" s="8"/>
      <c r="V48" s="2"/>
    </row>
    <row r="49" spans="1:22" ht="14" customHeight="1" x14ac:dyDescent="0.25">
      <c r="A49" s="39"/>
      <c r="B49" s="52" t="s">
        <v>54</v>
      </c>
      <c r="C49" s="52" t="s">
        <v>58</v>
      </c>
      <c r="D49" s="58" t="s">
        <v>104</v>
      </c>
      <c r="E49" s="161">
        <v>20500</v>
      </c>
      <c r="F49" s="55">
        <v>0</v>
      </c>
      <c r="G49" s="54">
        <v>0</v>
      </c>
      <c r="H49" s="54" cm="1">
        <f t="array" ref="H49">E49*F49</f>
        <v>0</v>
      </c>
      <c r="I49" s="54" cm="1">
        <f t="array" ref="I49">E49-H49</f>
        <v>20500</v>
      </c>
      <c r="J49" s="54" cm="1">
        <f t="array" ref="J49">H49-G49</f>
        <v>0</v>
      </c>
      <c r="K49" s="43"/>
      <c r="L49" s="8"/>
      <c r="M49" s="2"/>
      <c r="N49" s="2"/>
      <c r="O49" s="2"/>
      <c r="P49" s="2"/>
      <c r="Q49" s="8"/>
      <c r="R49" s="2"/>
      <c r="S49" s="2"/>
      <c r="T49" s="2"/>
      <c r="U49" s="8"/>
      <c r="V49" s="2"/>
    </row>
    <row r="50" spans="1:22" ht="14" customHeight="1" x14ac:dyDescent="0.25">
      <c r="A50" s="39"/>
      <c r="B50" s="52" t="s">
        <v>51</v>
      </c>
      <c r="C50" s="52" t="s">
        <v>58</v>
      </c>
      <c r="D50" s="58" t="s">
        <v>105</v>
      </c>
      <c r="E50" s="161">
        <v>31500</v>
      </c>
      <c r="F50" s="55">
        <v>0</v>
      </c>
      <c r="G50" s="54">
        <v>0</v>
      </c>
      <c r="H50" s="54" cm="1">
        <f t="array" ref="H50">E50*F50</f>
        <v>0</v>
      </c>
      <c r="I50" s="54" cm="1">
        <f t="array" ref="I50">E50-H50</f>
        <v>31500</v>
      </c>
      <c r="J50" s="54" cm="1">
        <f t="array" ref="J50">H50-G50</f>
        <v>0</v>
      </c>
      <c r="K50" s="43"/>
      <c r="L50" s="8"/>
      <c r="M50" s="2"/>
      <c r="N50" s="2"/>
      <c r="O50" s="2"/>
      <c r="P50" s="2"/>
      <c r="Q50" s="8"/>
      <c r="R50" s="2"/>
      <c r="S50" s="2"/>
      <c r="T50" s="2"/>
      <c r="U50" s="8"/>
      <c r="V50" s="2"/>
    </row>
    <row r="51" spans="1:22" ht="14" customHeight="1" x14ac:dyDescent="0.25">
      <c r="A51" s="39"/>
      <c r="B51" s="52" t="s">
        <v>54</v>
      </c>
      <c r="C51" s="52" t="s">
        <v>58</v>
      </c>
      <c r="D51" s="58" t="s">
        <v>105</v>
      </c>
      <c r="E51" s="161">
        <v>13500</v>
      </c>
      <c r="F51" s="55">
        <v>0</v>
      </c>
      <c r="G51" s="54">
        <v>0</v>
      </c>
      <c r="H51" s="54" cm="1">
        <f t="array" ref="H51">E51*F51</f>
        <v>0</v>
      </c>
      <c r="I51" s="54" cm="1">
        <f t="array" ref="I51">E51-H51</f>
        <v>13500</v>
      </c>
      <c r="J51" s="54" cm="1">
        <f t="array" ref="J51">H51-G51</f>
        <v>0</v>
      </c>
      <c r="K51" s="43"/>
      <c r="L51" s="8"/>
      <c r="M51" s="2"/>
      <c r="N51" s="2"/>
      <c r="O51" s="2"/>
      <c r="P51" s="2"/>
      <c r="Q51" s="8"/>
      <c r="R51" s="2"/>
      <c r="S51" s="2"/>
      <c r="T51" s="2"/>
      <c r="U51" s="8"/>
      <c r="V51" s="2"/>
    </row>
    <row r="52" spans="1:22" ht="14" customHeight="1" x14ac:dyDescent="0.25">
      <c r="A52" s="39"/>
      <c r="B52" s="52" t="s">
        <v>51</v>
      </c>
      <c r="C52" s="52" t="s">
        <v>58</v>
      </c>
      <c r="D52" s="58" t="s">
        <v>106</v>
      </c>
      <c r="E52" s="161">
        <v>18000</v>
      </c>
      <c r="F52" s="55">
        <v>0</v>
      </c>
      <c r="G52" s="54">
        <v>0</v>
      </c>
      <c r="H52" s="54" cm="1">
        <f t="array" ref="H52">E52*F52</f>
        <v>0</v>
      </c>
      <c r="I52" s="54" cm="1">
        <f t="array" ref="I52">E52-H52</f>
        <v>18000</v>
      </c>
      <c r="J52" s="54" cm="1">
        <f t="array" ref="J52">H52-G52</f>
        <v>0</v>
      </c>
      <c r="K52" s="43"/>
      <c r="L52" s="8"/>
      <c r="M52" s="2"/>
      <c r="N52" s="2"/>
      <c r="O52" s="2"/>
      <c r="P52" s="2"/>
      <c r="Q52" s="8"/>
      <c r="R52" s="2"/>
      <c r="S52" s="2"/>
      <c r="T52" s="2"/>
      <c r="U52" s="8"/>
      <c r="V52" s="2"/>
    </row>
    <row r="53" spans="1:22" ht="14" customHeight="1" x14ac:dyDescent="0.25">
      <c r="A53" s="39"/>
      <c r="B53" s="52" t="s">
        <v>54</v>
      </c>
      <c r="C53" s="52" t="s">
        <v>58</v>
      </c>
      <c r="D53" s="58" t="s">
        <v>106</v>
      </c>
      <c r="E53" s="161">
        <v>7000</v>
      </c>
      <c r="F53" s="55">
        <v>0</v>
      </c>
      <c r="G53" s="54">
        <v>0</v>
      </c>
      <c r="H53" s="54" cm="1">
        <f t="array" ref="H53">E53*F53</f>
        <v>0</v>
      </c>
      <c r="I53" s="54" cm="1">
        <f t="array" ref="I53">E53-H53</f>
        <v>7000</v>
      </c>
      <c r="J53" s="54" cm="1">
        <f t="array" ref="J53">H53-G53</f>
        <v>0</v>
      </c>
      <c r="K53" s="43"/>
      <c r="L53" s="8"/>
      <c r="M53" s="2"/>
      <c r="N53" s="2"/>
      <c r="O53" s="2"/>
      <c r="P53" s="2"/>
      <c r="Q53" s="8"/>
      <c r="R53" s="2"/>
      <c r="S53" s="2"/>
      <c r="T53" s="2"/>
      <c r="U53" s="8"/>
      <c r="V53" s="2"/>
    </row>
    <row r="54" spans="1:22" ht="14" customHeight="1" x14ac:dyDescent="0.25">
      <c r="A54" s="39"/>
      <c r="B54" s="52" t="s">
        <v>51</v>
      </c>
      <c r="C54" s="52" t="s">
        <v>58</v>
      </c>
      <c r="D54" s="58" t="s">
        <v>107</v>
      </c>
      <c r="E54" s="161">
        <v>13500</v>
      </c>
      <c r="F54" s="55">
        <v>0</v>
      </c>
      <c r="G54" s="54">
        <v>0</v>
      </c>
      <c r="H54" s="54" cm="1">
        <f t="array" ref="H54">E54*F54</f>
        <v>0</v>
      </c>
      <c r="I54" s="54" cm="1">
        <f t="array" ref="I54">E54-H54</f>
        <v>13500</v>
      </c>
      <c r="J54" s="54" cm="1">
        <f t="array" ref="J54">H54-G54</f>
        <v>0</v>
      </c>
      <c r="K54" s="43"/>
      <c r="L54" s="122"/>
      <c r="M54" s="2"/>
      <c r="N54" s="2"/>
      <c r="O54" s="2"/>
      <c r="P54" s="2"/>
      <c r="Q54" s="8"/>
      <c r="R54" s="2"/>
      <c r="S54" s="2"/>
      <c r="T54" s="2"/>
      <c r="U54" s="8"/>
      <c r="V54" s="2"/>
    </row>
    <row r="55" spans="1:22" ht="14" customHeight="1" x14ac:dyDescent="0.25">
      <c r="A55" s="39"/>
      <c r="B55" s="52" t="s">
        <v>54</v>
      </c>
      <c r="C55" s="52" t="s">
        <v>58</v>
      </c>
      <c r="D55" s="58" t="s">
        <v>107</v>
      </c>
      <c r="E55" s="161">
        <v>3500</v>
      </c>
      <c r="F55" s="55">
        <v>0</v>
      </c>
      <c r="G55" s="54">
        <v>0</v>
      </c>
      <c r="H55" s="54" cm="1">
        <f t="array" ref="H55">E55*F55</f>
        <v>0</v>
      </c>
      <c r="I55" s="54" cm="1">
        <f t="array" ref="I55">E55-H55</f>
        <v>3500</v>
      </c>
      <c r="J55" s="54" cm="1">
        <f t="array" ref="J55">H55-G55</f>
        <v>0</v>
      </c>
      <c r="K55" s="43"/>
      <c r="L55" s="8"/>
      <c r="M55" s="2"/>
      <c r="N55" s="2"/>
      <c r="O55" s="2"/>
      <c r="P55" s="2"/>
      <c r="Q55" s="8"/>
      <c r="R55" s="2"/>
      <c r="S55" s="2"/>
      <c r="T55" s="2"/>
      <c r="U55" s="8"/>
      <c r="V55" s="2"/>
    </row>
    <row r="56" spans="1:22" ht="14" customHeight="1" x14ac:dyDescent="0.25">
      <c r="A56" s="39"/>
      <c r="B56" s="52" t="s">
        <v>51</v>
      </c>
      <c r="C56" s="52" t="s">
        <v>58</v>
      </c>
      <c r="D56" s="58" t="s">
        <v>108</v>
      </c>
      <c r="E56" s="161">
        <v>13500</v>
      </c>
      <c r="F56" s="55">
        <v>0</v>
      </c>
      <c r="G56" s="54">
        <v>0</v>
      </c>
      <c r="H56" s="54" cm="1">
        <f t="array" ref="H56">E56*F56</f>
        <v>0</v>
      </c>
      <c r="I56" s="54" cm="1">
        <f t="array" ref="I56">E56-H56</f>
        <v>13500</v>
      </c>
      <c r="J56" s="54" cm="1">
        <f t="array" ref="J56">H56-G56</f>
        <v>0</v>
      </c>
      <c r="K56" s="43"/>
      <c r="L56" s="8"/>
      <c r="M56" s="2"/>
      <c r="N56" s="2"/>
      <c r="O56" s="2"/>
      <c r="P56" s="2"/>
      <c r="Q56" s="8"/>
      <c r="R56" s="2"/>
      <c r="S56" s="2"/>
      <c r="T56" s="2"/>
      <c r="U56" s="8"/>
      <c r="V56" s="2"/>
    </row>
    <row r="57" spans="1:22" ht="14" customHeight="1" x14ac:dyDescent="0.25">
      <c r="A57" s="39"/>
      <c r="B57" s="52" t="s">
        <v>54</v>
      </c>
      <c r="C57" s="52" t="s">
        <v>58</v>
      </c>
      <c r="D57" s="58" t="s">
        <v>108</v>
      </c>
      <c r="E57" s="161">
        <v>3500</v>
      </c>
      <c r="F57" s="55">
        <v>0</v>
      </c>
      <c r="G57" s="54">
        <v>0</v>
      </c>
      <c r="H57" s="54" cm="1">
        <f t="array" ref="H57">E57*F57</f>
        <v>0</v>
      </c>
      <c r="I57" s="54" cm="1">
        <f t="array" ref="I57">E57-H57</f>
        <v>3500</v>
      </c>
      <c r="J57" s="54" cm="1">
        <f t="array" ref="J57">H57-G57</f>
        <v>0</v>
      </c>
      <c r="K57" s="43"/>
      <c r="L57" s="8"/>
      <c r="M57" s="2"/>
      <c r="N57" s="2"/>
      <c r="O57" s="2"/>
      <c r="P57" s="2"/>
      <c r="Q57" s="8"/>
      <c r="R57" s="2"/>
      <c r="S57" s="2"/>
      <c r="T57" s="2"/>
      <c r="U57" s="8"/>
      <c r="V57" s="2"/>
    </row>
    <row r="58" spans="1:22" ht="14" customHeight="1" x14ac:dyDescent="0.25">
      <c r="A58" s="39"/>
      <c r="B58" s="52" t="s">
        <v>51</v>
      </c>
      <c r="C58" s="52" t="s">
        <v>58</v>
      </c>
      <c r="D58" s="58" t="s">
        <v>109</v>
      </c>
      <c r="E58" s="161">
        <v>31500</v>
      </c>
      <c r="F58" s="55">
        <v>0</v>
      </c>
      <c r="G58" s="54">
        <v>0</v>
      </c>
      <c r="H58" s="54" cm="1">
        <f t="array" ref="H58">E58*F58</f>
        <v>0</v>
      </c>
      <c r="I58" s="54" cm="1">
        <f t="array" ref="I58">E58-H58</f>
        <v>31500</v>
      </c>
      <c r="J58" s="54" cm="1">
        <f t="array" ref="J58">H58-G58</f>
        <v>0</v>
      </c>
      <c r="K58" s="43"/>
      <c r="L58" s="8"/>
      <c r="M58" s="2"/>
      <c r="N58" s="2"/>
      <c r="O58" s="2"/>
      <c r="P58" s="2"/>
      <c r="Q58" s="8"/>
      <c r="R58" s="2"/>
      <c r="S58" s="2"/>
      <c r="T58" s="2"/>
      <c r="U58" s="8"/>
      <c r="V58" s="2"/>
    </row>
    <row r="59" spans="1:22" ht="14" customHeight="1" x14ac:dyDescent="0.25">
      <c r="A59" s="39"/>
      <c r="B59" s="52" t="s">
        <v>54</v>
      </c>
      <c r="C59" s="52" t="s">
        <v>58</v>
      </c>
      <c r="D59" s="58" t="s">
        <v>109</v>
      </c>
      <c r="E59" s="161">
        <v>13500</v>
      </c>
      <c r="F59" s="55">
        <v>0</v>
      </c>
      <c r="G59" s="54">
        <v>0</v>
      </c>
      <c r="H59" s="54" cm="1">
        <f t="array" ref="H59">E59*F59</f>
        <v>0</v>
      </c>
      <c r="I59" s="54" cm="1">
        <f t="array" ref="I59">E59-H59</f>
        <v>13500</v>
      </c>
      <c r="J59" s="54" cm="1">
        <f t="array" ref="J59">H59-G59</f>
        <v>0</v>
      </c>
      <c r="K59" s="43"/>
      <c r="L59" s="8"/>
      <c r="M59" s="2"/>
      <c r="N59" s="2"/>
      <c r="O59" s="2"/>
      <c r="P59" s="2"/>
      <c r="Q59" s="8"/>
      <c r="R59" s="2"/>
      <c r="S59" s="2"/>
      <c r="T59" s="2"/>
      <c r="U59" s="8"/>
      <c r="V59" s="2"/>
    </row>
    <row r="60" spans="1:22" ht="14" customHeight="1" x14ac:dyDescent="0.25">
      <c r="A60" s="39"/>
      <c r="B60" s="52" t="s">
        <v>51</v>
      </c>
      <c r="C60" s="52" t="s">
        <v>58</v>
      </c>
      <c r="D60" s="58" t="s">
        <v>110</v>
      </c>
      <c r="E60" s="161">
        <v>18000</v>
      </c>
      <c r="F60" s="55">
        <v>0</v>
      </c>
      <c r="G60" s="54">
        <v>0</v>
      </c>
      <c r="H60" s="54" cm="1">
        <f t="array" ref="H60">E60*F60</f>
        <v>0</v>
      </c>
      <c r="I60" s="54" cm="1">
        <f t="array" ref="I60">E60-H60</f>
        <v>18000</v>
      </c>
      <c r="J60" s="54" cm="1">
        <f t="array" ref="J60">H60-G60</f>
        <v>0</v>
      </c>
      <c r="K60" s="43"/>
      <c r="L60" s="8"/>
      <c r="M60" s="2"/>
      <c r="N60" s="2"/>
      <c r="O60" s="2"/>
      <c r="P60" s="2"/>
      <c r="Q60" s="8"/>
      <c r="R60" s="2"/>
      <c r="S60" s="2"/>
      <c r="T60" s="2"/>
      <c r="U60" s="8"/>
      <c r="V60" s="2"/>
    </row>
    <row r="61" spans="1:22" ht="14" customHeight="1" x14ac:dyDescent="0.25">
      <c r="A61" s="39"/>
      <c r="B61" s="52" t="s">
        <v>54</v>
      </c>
      <c r="C61" s="52" t="s">
        <v>58</v>
      </c>
      <c r="D61" s="58" t="s">
        <v>110</v>
      </c>
      <c r="E61" s="161">
        <v>7000</v>
      </c>
      <c r="F61" s="55">
        <v>0</v>
      </c>
      <c r="G61" s="54">
        <v>0</v>
      </c>
      <c r="H61" s="54" cm="1">
        <f t="array" ref="H61">E61*F61</f>
        <v>0</v>
      </c>
      <c r="I61" s="54" cm="1">
        <f t="array" ref="I61">E61-H61</f>
        <v>7000</v>
      </c>
      <c r="J61" s="54" cm="1">
        <f t="array" ref="J61">H61-G61</f>
        <v>0</v>
      </c>
      <c r="K61" s="43"/>
      <c r="L61" s="8"/>
      <c r="M61" s="2"/>
      <c r="N61" s="2"/>
      <c r="O61" s="2"/>
      <c r="P61" s="2"/>
      <c r="Q61" s="8"/>
      <c r="R61" s="2"/>
      <c r="S61" s="2"/>
      <c r="T61" s="2"/>
      <c r="U61" s="8"/>
      <c r="V61" s="2"/>
    </row>
    <row r="62" spans="1:22" ht="14" customHeight="1" x14ac:dyDescent="0.25">
      <c r="A62" s="39"/>
      <c r="B62" s="52" t="s">
        <v>51</v>
      </c>
      <c r="C62" s="52" t="s">
        <v>58</v>
      </c>
      <c r="D62" s="58" t="s">
        <v>111</v>
      </c>
      <c r="E62" s="161">
        <v>9000</v>
      </c>
      <c r="F62" s="55">
        <v>0</v>
      </c>
      <c r="G62" s="54">
        <v>0</v>
      </c>
      <c r="H62" s="54" cm="1">
        <f t="array" ref="H62">E62*F62</f>
        <v>0</v>
      </c>
      <c r="I62" s="54" cm="1">
        <f t="array" ref="I62">E62-H62</f>
        <v>9000</v>
      </c>
      <c r="J62" s="54" cm="1">
        <f t="array" ref="J62">H62-G62</f>
        <v>0</v>
      </c>
      <c r="K62" s="43"/>
      <c r="L62" s="8"/>
      <c r="M62" s="2"/>
      <c r="N62" s="2"/>
      <c r="O62" s="2"/>
      <c r="P62" s="2"/>
      <c r="Q62" s="8"/>
      <c r="R62" s="2"/>
      <c r="S62" s="2"/>
      <c r="T62" s="2"/>
      <c r="U62" s="8"/>
      <c r="V62" s="2"/>
    </row>
    <row r="63" spans="1:22" ht="14" customHeight="1" x14ac:dyDescent="0.25">
      <c r="A63" s="39"/>
      <c r="B63" s="52" t="s">
        <v>54</v>
      </c>
      <c r="C63" s="52" t="s">
        <v>58</v>
      </c>
      <c r="D63" s="58" t="s">
        <v>111</v>
      </c>
      <c r="E63" s="161">
        <v>6000</v>
      </c>
      <c r="F63" s="55">
        <v>0</v>
      </c>
      <c r="G63" s="54">
        <v>0</v>
      </c>
      <c r="H63" s="54" cm="1">
        <f t="array" ref="H63">E63*F63</f>
        <v>0</v>
      </c>
      <c r="I63" s="54" cm="1">
        <f t="array" ref="I63">E63-H63</f>
        <v>6000</v>
      </c>
      <c r="J63" s="54" cm="1">
        <f t="array" ref="J63">H63-G63</f>
        <v>0</v>
      </c>
      <c r="K63" s="43"/>
      <c r="L63" s="8"/>
      <c r="M63" s="2"/>
      <c r="N63" s="2"/>
      <c r="O63" s="2"/>
      <c r="P63" s="2"/>
      <c r="Q63" s="8"/>
      <c r="R63" s="2"/>
      <c r="S63" s="2"/>
      <c r="T63" s="2"/>
      <c r="U63" s="8"/>
      <c r="V63" s="2"/>
    </row>
    <row r="64" spans="1:22" ht="14" customHeight="1" x14ac:dyDescent="0.25">
      <c r="A64" s="39"/>
      <c r="B64" s="52" t="s">
        <v>51</v>
      </c>
      <c r="C64" s="52" t="s">
        <v>58</v>
      </c>
      <c r="D64" s="58" t="s">
        <v>112</v>
      </c>
      <c r="E64" s="161">
        <v>13500</v>
      </c>
      <c r="F64" s="55">
        <v>0</v>
      </c>
      <c r="G64" s="54">
        <v>0</v>
      </c>
      <c r="H64" s="54" cm="1">
        <f t="array" ref="H64">E64*F64</f>
        <v>0</v>
      </c>
      <c r="I64" s="54" cm="1">
        <f t="array" ref="I64">E64-H64</f>
        <v>13500</v>
      </c>
      <c r="J64" s="54" cm="1">
        <f t="array" ref="J64">H64-G64</f>
        <v>0</v>
      </c>
      <c r="K64" s="43"/>
      <c r="L64" s="8"/>
      <c r="M64" s="2"/>
      <c r="N64" s="2"/>
      <c r="O64" s="2"/>
      <c r="P64" s="2"/>
      <c r="Q64" s="8"/>
      <c r="R64" s="2"/>
      <c r="S64" s="2"/>
      <c r="T64" s="2"/>
      <c r="U64" s="8"/>
      <c r="V64" s="2"/>
    </row>
    <row r="65" spans="1:22" ht="14" customHeight="1" x14ac:dyDescent="0.25">
      <c r="A65" s="39"/>
      <c r="B65" s="52" t="s">
        <v>54</v>
      </c>
      <c r="C65" s="52" t="s">
        <v>58</v>
      </c>
      <c r="D65" s="58" t="s">
        <v>112</v>
      </c>
      <c r="E65" s="161">
        <v>3500</v>
      </c>
      <c r="F65" s="55">
        <v>0</v>
      </c>
      <c r="G65" s="54">
        <v>0</v>
      </c>
      <c r="H65" s="54" cm="1">
        <f t="array" ref="H65">E65*F65</f>
        <v>0</v>
      </c>
      <c r="I65" s="54" cm="1">
        <f t="array" ref="I65">E65-H65</f>
        <v>3500</v>
      </c>
      <c r="J65" s="54" cm="1">
        <f t="array" ref="J65">H65-G65</f>
        <v>0</v>
      </c>
      <c r="K65" s="43"/>
      <c r="L65" s="8"/>
      <c r="M65" s="2"/>
      <c r="N65" s="2"/>
      <c r="O65" s="2"/>
      <c r="P65" s="2"/>
      <c r="Q65" s="8"/>
      <c r="R65" s="2"/>
      <c r="S65" s="2"/>
      <c r="T65" s="2"/>
      <c r="U65" s="8"/>
      <c r="V65" s="2"/>
    </row>
    <row r="66" spans="1:22" ht="14" customHeight="1" x14ac:dyDescent="0.25">
      <c r="A66" s="39"/>
      <c r="B66" s="52" t="s">
        <v>51</v>
      </c>
      <c r="C66" s="52" t="s">
        <v>58</v>
      </c>
      <c r="D66" s="58" t="s">
        <v>113</v>
      </c>
      <c r="E66" s="161">
        <v>13500</v>
      </c>
      <c r="F66" s="55">
        <v>0</v>
      </c>
      <c r="G66" s="54">
        <v>0</v>
      </c>
      <c r="H66" s="54" cm="1">
        <f t="array" ref="H66">E66*F66</f>
        <v>0</v>
      </c>
      <c r="I66" s="54" cm="1">
        <f t="array" ref="I66">E66-H66</f>
        <v>13500</v>
      </c>
      <c r="J66" s="54" cm="1">
        <f t="array" ref="J66">H66-G66</f>
        <v>0</v>
      </c>
      <c r="K66" s="43"/>
      <c r="L66" s="8"/>
      <c r="M66" s="2"/>
      <c r="N66" s="2"/>
      <c r="O66" s="2"/>
      <c r="P66" s="2"/>
      <c r="Q66" s="8"/>
      <c r="R66" s="2"/>
      <c r="S66" s="2"/>
      <c r="T66" s="2"/>
      <c r="U66" s="8"/>
      <c r="V66" s="2"/>
    </row>
    <row r="67" spans="1:22" ht="14" customHeight="1" x14ac:dyDescent="0.25">
      <c r="A67" s="39"/>
      <c r="B67" s="52" t="s">
        <v>54</v>
      </c>
      <c r="C67" s="52" t="s">
        <v>58</v>
      </c>
      <c r="D67" s="58" t="s">
        <v>113</v>
      </c>
      <c r="E67" s="161">
        <v>3500</v>
      </c>
      <c r="F67" s="55">
        <v>0</v>
      </c>
      <c r="G67" s="54">
        <v>0</v>
      </c>
      <c r="H67" s="54" cm="1">
        <f t="array" ref="H67">E67*F67</f>
        <v>0</v>
      </c>
      <c r="I67" s="54" cm="1">
        <f t="array" ref="I67">E67-H67</f>
        <v>3500</v>
      </c>
      <c r="J67" s="54" cm="1">
        <f t="array" ref="J67">H67-G67</f>
        <v>0</v>
      </c>
      <c r="K67" s="43"/>
      <c r="L67" s="8"/>
      <c r="M67" s="2"/>
      <c r="N67" s="2"/>
      <c r="O67" s="2"/>
      <c r="P67" s="2"/>
      <c r="Q67" s="8"/>
      <c r="R67" s="2"/>
      <c r="S67" s="2"/>
      <c r="T67" s="2"/>
      <c r="U67" s="8"/>
      <c r="V67" s="2"/>
    </row>
    <row r="68" spans="1:22" ht="14" customHeight="1" x14ac:dyDescent="0.25">
      <c r="A68" s="39"/>
      <c r="B68" s="52" t="s">
        <v>51</v>
      </c>
      <c r="C68" s="52" t="s">
        <v>58</v>
      </c>
      <c r="D68" s="58" t="s">
        <v>114</v>
      </c>
      <c r="E68" s="161">
        <v>28800</v>
      </c>
      <c r="F68" s="55">
        <v>0</v>
      </c>
      <c r="G68" s="54">
        <v>0</v>
      </c>
      <c r="H68" s="54" cm="1">
        <f t="array" ref="H68">E68*F68</f>
        <v>0</v>
      </c>
      <c r="I68" s="54" cm="1">
        <f t="array" ref="I68">E68-H68</f>
        <v>28800</v>
      </c>
      <c r="J68" s="54" cm="1">
        <f t="array" ref="J68">H68-G68</f>
        <v>0</v>
      </c>
      <c r="K68" s="43"/>
      <c r="L68" s="8"/>
      <c r="M68" s="2"/>
      <c r="N68" s="2"/>
      <c r="O68" s="2"/>
      <c r="P68" s="2"/>
      <c r="Q68" s="8"/>
      <c r="R68" s="2"/>
      <c r="S68" s="2"/>
      <c r="T68" s="2"/>
      <c r="U68" s="8"/>
      <c r="V68" s="2"/>
    </row>
    <row r="69" spans="1:22" ht="14" customHeight="1" x14ac:dyDescent="0.25">
      <c r="A69" s="39"/>
      <c r="B69" s="52" t="s">
        <v>54</v>
      </c>
      <c r="C69" s="52" t="s">
        <v>58</v>
      </c>
      <c r="D69" s="58" t="s">
        <v>114</v>
      </c>
      <c r="E69" s="161">
        <v>13200</v>
      </c>
      <c r="F69" s="55">
        <v>0</v>
      </c>
      <c r="G69" s="54">
        <v>0</v>
      </c>
      <c r="H69" s="54" cm="1">
        <f t="array" ref="H69">E69*F69</f>
        <v>0</v>
      </c>
      <c r="I69" s="54" cm="1">
        <f t="array" ref="I69">E69-H69</f>
        <v>13200</v>
      </c>
      <c r="J69" s="54" cm="1">
        <f t="array" ref="J69">H69-G69</f>
        <v>0</v>
      </c>
      <c r="K69" s="43"/>
      <c r="L69" s="8"/>
      <c r="M69" s="2"/>
      <c r="N69" s="2"/>
      <c r="O69" s="2"/>
      <c r="P69" s="2"/>
      <c r="Q69" s="8"/>
      <c r="R69" s="2"/>
      <c r="S69" s="2"/>
      <c r="T69" s="2"/>
      <c r="U69" s="8"/>
      <c r="V69" s="2"/>
    </row>
    <row r="70" spans="1:22" ht="14" customHeight="1" x14ac:dyDescent="0.25">
      <c r="A70" s="39"/>
      <c r="B70" s="52" t="s">
        <v>51</v>
      </c>
      <c r="C70" s="52" t="s">
        <v>58</v>
      </c>
      <c r="D70" s="58" t="s">
        <v>115</v>
      </c>
      <c r="E70" s="161">
        <v>16200</v>
      </c>
      <c r="F70" s="55">
        <v>0</v>
      </c>
      <c r="G70" s="54">
        <v>0</v>
      </c>
      <c r="H70" s="54" cm="1">
        <f t="array" ref="H70">E70*F70</f>
        <v>0</v>
      </c>
      <c r="I70" s="54" cm="1">
        <f t="array" ref="I70">E70-H70</f>
        <v>16200</v>
      </c>
      <c r="J70" s="54" cm="1">
        <f t="array" ref="J70">H70-G70</f>
        <v>0</v>
      </c>
      <c r="K70" s="43"/>
      <c r="L70" s="8"/>
      <c r="M70" s="2"/>
      <c r="N70" s="2"/>
      <c r="O70" s="2"/>
      <c r="P70" s="2"/>
      <c r="Q70" s="8"/>
      <c r="R70" s="2"/>
      <c r="S70" s="2"/>
      <c r="T70" s="2"/>
      <c r="U70" s="8"/>
      <c r="V70" s="2"/>
    </row>
    <row r="71" spans="1:22" ht="14" customHeight="1" x14ac:dyDescent="0.25">
      <c r="A71" s="39"/>
      <c r="B71" s="52" t="s">
        <v>54</v>
      </c>
      <c r="C71" s="52" t="s">
        <v>58</v>
      </c>
      <c r="D71" s="58" t="s">
        <v>115</v>
      </c>
      <c r="E71" s="161">
        <v>6800</v>
      </c>
      <c r="F71" s="55">
        <v>0</v>
      </c>
      <c r="G71" s="54">
        <v>0</v>
      </c>
      <c r="H71" s="54" cm="1">
        <f t="array" ref="H71">E71*F71</f>
        <v>0</v>
      </c>
      <c r="I71" s="54" cm="1">
        <f t="array" ref="I71">E71-H71</f>
        <v>6800</v>
      </c>
      <c r="J71" s="54" cm="1">
        <f t="array" ref="J71">H71-G71</f>
        <v>0</v>
      </c>
      <c r="K71" s="43"/>
      <c r="L71" s="8"/>
      <c r="M71" s="2"/>
      <c r="N71" s="2"/>
      <c r="O71" s="2"/>
      <c r="P71" s="2"/>
      <c r="Q71" s="8"/>
      <c r="R71" s="2"/>
      <c r="S71" s="2"/>
      <c r="T71" s="2"/>
      <c r="U71" s="8"/>
      <c r="V71" s="2"/>
    </row>
    <row r="72" spans="1:22" ht="14" customHeight="1" x14ac:dyDescent="0.25">
      <c r="A72" s="39"/>
      <c r="B72" s="52" t="s">
        <v>51</v>
      </c>
      <c r="C72" s="52" t="s">
        <v>58</v>
      </c>
      <c r="D72" s="58" t="s">
        <v>116</v>
      </c>
      <c r="E72" s="161">
        <v>9000</v>
      </c>
      <c r="F72" s="55">
        <v>0</v>
      </c>
      <c r="G72" s="54">
        <v>0</v>
      </c>
      <c r="H72" s="54" cm="1">
        <f t="array" ref="H72">E72*F72</f>
        <v>0</v>
      </c>
      <c r="I72" s="54" cm="1">
        <f t="array" ref="I72">E72-H72</f>
        <v>9000</v>
      </c>
      <c r="J72" s="54" cm="1">
        <f t="array" ref="J72">H72-G72</f>
        <v>0</v>
      </c>
      <c r="K72" s="43"/>
      <c r="L72" s="8"/>
      <c r="M72" s="2"/>
      <c r="N72" s="2"/>
      <c r="O72" s="2"/>
      <c r="P72" s="2"/>
      <c r="Q72" s="8"/>
      <c r="R72" s="2"/>
      <c r="S72" s="2"/>
      <c r="T72" s="2"/>
      <c r="U72" s="8"/>
      <c r="V72" s="2"/>
    </row>
    <row r="73" spans="1:22" ht="14" customHeight="1" x14ac:dyDescent="0.25">
      <c r="A73" s="39"/>
      <c r="B73" s="52" t="s">
        <v>54</v>
      </c>
      <c r="C73" s="52" t="s">
        <v>58</v>
      </c>
      <c r="D73" s="58" t="s">
        <v>116</v>
      </c>
      <c r="E73" s="161">
        <v>6000</v>
      </c>
      <c r="F73" s="55">
        <v>0</v>
      </c>
      <c r="G73" s="54">
        <v>0</v>
      </c>
      <c r="H73" s="54" cm="1">
        <f t="array" ref="H73">E73*F73</f>
        <v>0</v>
      </c>
      <c r="I73" s="54" cm="1">
        <f t="array" ref="I73">E73-H73</f>
        <v>6000</v>
      </c>
      <c r="J73" s="54" cm="1">
        <f t="array" ref="J73">H73-G73</f>
        <v>0</v>
      </c>
      <c r="K73" s="43"/>
      <c r="L73" s="8"/>
      <c r="M73" s="2"/>
      <c r="N73" s="2"/>
      <c r="O73" s="2"/>
      <c r="P73" s="2"/>
      <c r="Q73" s="8"/>
      <c r="R73" s="2"/>
      <c r="S73" s="2"/>
      <c r="T73" s="2"/>
      <c r="U73" s="8"/>
      <c r="V73" s="2"/>
    </row>
    <row r="74" spans="1:22" ht="14" customHeight="1" x14ac:dyDescent="0.25">
      <c r="A74" s="39"/>
      <c r="B74" s="52" t="s">
        <v>51</v>
      </c>
      <c r="C74" s="52" t="s">
        <v>58</v>
      </c>
      <c r="D74" s="58" t="s">
        <v>117</v>
      </c>
      <c r="E74" s="161">
        <v>13500</v>
      </c>
      <c r="F74" s="55">
        <v>0</v>
      </c>
      <c r="G74" s="54">
        <v>0</v>
      </c>
      <c r="H74" s="54" cm="1">
        <f t="array" ref="H74">E74*F74</f>
        <v>0</v>
      </c>
      <c r="I74" s="54" cm="1">
        <f t="array" ref="I74">E74-H74</f>
        <v>13500</v>
      </c>
      <c r="J74" s="54" cm="1">
        <f t="array" ref="J74">H74-G74</f>
        <v>0</v>
      </c>
      <c r="K74" s="43"/>
      <c r="L74" s="8"/>
      <c r="M74" s="2"/>
      <c r="N74" s="2"/>
      <c r="O74" s="2"/>
      <c r="P74" s="2"/>
      <c r="Q74" s="8"/>
      <c r="R74" s="2"/>
      <c r="S74" s="2"/>
      <c r="T74" s="2"/>
      <c r="U74" s="8"/>
      <c r="V74" s="2"/>
    </row>
    <row r="75" spans="1:22" ht="14" customHeight="1" x14ac:dyDescent="0.25">
      <c r="A75" s="39"/>
      <c r="B75" s="52" t="s">
        <v>54</v>
      </c>
      <c r="C75" s="52" t="s">
        <v>58</v>
      </c>
      <c r="D75" s="58" t="s">
        <v>117</v>
      </c>
      <c r="E75" s="161">
        <v>3500</v>
      </c>
      <c r="F75" s="55">
        <v>0</v>
      </c>
      <c r="G75" s="54">
        <v>0</v>
      </c>
      <c r="H75" s="54" cm="1">
        <f t="array" ref="H75">E75*F75</f>
        <v>0</v>
      </c>
      <c r="I75" s="54" cm="1">
        <f t="array" ref="I75">E75-H75</f>
        <v>3500</v>
      </c>
      <c r="J75" s="54" cm="1">
        <f t="array" ref="J75">H75-G75</f>
        <v>0</v>
      </c>
      <c r="K75" s="43"/>
      <c r="L75" s="8"/>
      <c r="M75" s="2"/>
      <c r="N75" s="2"/>
      <c r="O75" s="2"/>
      <c r="P75" s="2"/>
      <c r="Q75" s="8"/>
      <c r="R75" s="2"/>
      <c r="S75" s="2"/>
      <c r="T75" s="2"/>
      <c r="U75" s="8"/>
      <c r="V75" s="2"/>
    </row>
    <row r="76" spans="1:22" ht="14" customHeight="1" x14ac:dyDescent="0.25">
      <c r="A76" s="39"/>
      <c r="B76" s="52" t="s">
        <v>51</v>
      </c>
      <c r="C76" s="52" t="s">
        <v>58</v>
      </c>
      <c r="D76" s="58" t="s">
        <v>118</v>
      </c>
      <c r="E76" s="161">
        <v>13500</v>
      </c>
      <c r="F76" s="55">
        <v>0</v>
      </c>
      <c r="G76" s="54">
        <v>0</v>
      </c>
      <c r="H76" s="54" cm="1">
        <f t="array" ref="H76">E76*F76</f>
        <v>0</v>
      </c>
      <c r="I76" s="54" cm="1">
        <f t="array" ref="I76">E76-H76</f>
        <v>13500</v>
      </c>
      <c r="J76" s="54" cm="1">
        <f t="array" ref="J76">H76-G76</f>
        <v>0</v>
      </c>
      <c r="K76" s="43"/>
      <c r="L76" s="8"/>
      <c r="M76" s="2"/>
      <c r="N76" s="2"/>
      <c r="O76" s="2"/>
      <c r="P76" s="2"/>
      <c r="Q76" s="8"/>
      <c r="R76" s="2"/>
      <c r="S76" s="2"/>
      <c r="T76" s="2"/>
      <c r="U76" s="8"/>
      <c r="V76" s="2"/>
    </row>
    <row r="77" spans="1:22" ht="14" customHeight="1" x14ac:dyDescent="0.25">
      <c r="A77" s="39"/>
      <c r="B77" s="52" t="s">
        <v>54</v>
      </c>
      <c r="C77" s="52" t="s">
        <v>58</v>
      </c>
      <c r="D77" s="58" t="s">
        <v>118</v>
      </c>
      <c r="E77" s="161">
        <v>3500</v>
      </c>
      <c r="F77" s="55">
        <v>0</v>
      </c>
      <c r="G77" s="54">
        <v>0</v>
      </c>
      <c r="H77" s="54" cm="1">
        <f t="array" ref="H77">E77*F77</f>
        <v>0</v>
      </c>
      <c r="I77" s="54" cm="1">
        <f t="array" ref="I77">E77-H77</f>
        <v>3500</v>
      </c>
      <c r="J77" s="54" cm="1">
        <f t="array" ref="J77">H77-G77</f>
        <v>0</v>
      </c>
      <c r="K77" s="43"/>
      <c r="L77" s="8"/>
      <c r="M77" s="2"/>
      <c r="N77" s="2"/>
      <c r="O77" s="2"/>
      <c r="P77" s="2"/>
      <c r="Q77" s="8"/>
      <c r="R77" s="2"/>
      <c r="S77" s="2"/>
      <c r="T77" s="2"/>
      <c r="U77" s="8"/>
      <c r="V77" s="2"/>
    </row>
    <row r="78" spans="1:22" ht="14" customHeight="1" x14ac:dyDescent="0.25">
      <c r="A78" s="39"/>
      <c r="B78" s="52" t="s">
        <v>51</v>
      </c>
      <c r="C78" s="52" t="s">
        <v>58</v>
      </c>
      <c r="D78" s="58" t="s">
        <v>119</v>
      </c>
      <c r="E78" s="161">
        <v>18000</v>
      </c>
      <c r="F78" s="55">
        <v>0</v>
      </c>
      <c r="G78" s="54">
        <v>0</v>
      </c>
      <c r="H78" s="54" cm="1">
        <f t="array" ref="H78">E78*F78</f>
        <v>0</v>
      </c>
      <c r="I78" s="54" cm="1">
        <f t="array" ref="I78">E78-H78</f>
        <v>18000</v>
      </c>
      <c r="J78" s="54" cm="1">
        <f t="array" ref="J78">H78-G78</f>
        <v>0</v>
      </c>
      <c r="K78" s="43"/>
      <c r="L78" s="8"/>
      <c r="M78" s="2"/>
      <c r="N78" s="2"/>
      <c r="O78" s="2"/>
      <c r="P78" s="2"/>
      <c r="Q78" s="8"/>
      <c r="R78" s="2"/>
      <c r="S78" s="2"/>
      <c r="T78" s="2"/>
      <c r="U78" s="8"/>
      <c r="V78" s="2"/>
    </row>
    <row r="79" spans="1:22" ht="14" customHeight="1" x14ac:dyDescent="0.25">
      <c r="A79" s="39"/>
      <c r="B79" s="52" t="s">
        <v>54</v>
      </c>
      <c r="C79" s="52" t="s">
        <v>58</v>
      </c>
      <c r="D79" s="58" t="s">
        <v>119</v>
      </c>
      <c r="E79" s="161">
        <v>4500</v>
      </c>
      <c r="F79" s="55">
        <v>0</v>
      </c>
      <c r="G79" s="54">
        <v>0</v>
      </c>
      <c r="H79" s="54" cm="1">
        <f t="array" ref="H79">E79*F79</f>
        <v>0</v>
      </c>
      <c r="I79" s="54" cm="1">
        <f t="array" ref="I79">E79-H79</f>
        <v>4500</v>
      </c>
      <c r="J79" s="54" cm="1">
        <f t="array" ref="J79">H79-G79</f>
        <v>0</v>
      </c>
      <c r="K79" s="43"/>
      <c r="L79" s="8"/>
      <c r="M79" s="2"/>
      <c r="N79" s="2"/>
      <c r="O79" s="2"/>
      <c r="P79" s="2"/>
      <c r="Q79" s="8"/>
      <c r="R79" s="2"/>
      <c r="S79" s="2"/>
      <c r="T79" s="2"/>
      <c r="U79" s="8"/>
      <c r="V79" s="2"/>
    </row>
    <row r="80" spans="1:22" ht="14" customHeight="1" x14ac:dyDescent="0.25">
      <c r="A80" s="39"/>
      <c r="B80" s="51"/>
      <c r="C80" s="123"/>
      <c r="D80" s="124" t="s">
        <v>120</v>
      </c>
      <c r="E80" s="125" cm="1">
        <f t="array" ref="E80">SUM(E16:E79)</f>
        <v>880000</v>
      </c>
      <c r="F80" s="73" cm="1">
        <f t="array" ref="F80">H80/E80</f>
        <v>0</v>
      </c>
      <c r="G80" s="72" cm="1">
        <f t="array" ref="G80">SUM(G16:G79)</f>
        <v>0</v>
      </c>
      <c r="H80" s="72" cm="1">
        <f t="array" ref="H80">SUM(H16:H79)</f>
        <v>0</v>
      </c>
      <c r="I80" s="72" cm="1">
        <f t="array" ref="I80">SUM(I16:I79)</f>
        <v>880000</v>
      </c>
      <c r="J80" s="72" cm="1">
        <f t="array" ref="J80">SUM(J16:J79)</f>
        <v>0</v>
      </c>
      <c r="K80" s="43"/>
      <c r="L80" s="8"/>
      <c r="M80" s="2"/>
      <c r="N80" s="2"/>
      <c r="O80" s="2"/>
      <c r="P80" s="2"/>
      <c r="Q80" s="8"/>
      <c r="R80" s="2"/>
      <c r="S80" s="2"/>
      <c r="T80" s="2"/>
      <c r="U80" s="8"/>
      <c r="V80" s="2"/>
    </row>
    <row r="81" spans="1:22" ht="14" customHeight="1" x14ac:dyDescent="0.25">
      <c r="A81" s="39"/>
      <c r="B81" s="75"/>
      <c r="C81" s="75"/>
      <c r="D81" s="76"/>
      <c r="E81" s="77"/>
      <c r="F81" s="78"/>
      <c r="G81" s="77"/>
      <c r="H81" s="77"/>
      <c r="I81" s="77"/>
      <c r="J81" s="77"/>
      <c r="K81" s="43"/>
      <c r="L81" s="8"/>
      <c r="M81" s="2"/>
      <c r="N81" s="2"/>
      <c r="O81" s="2"/>
      <c r="P81" s="2"/>
      <c r="Q81" s="8"/>
      <c r="R81" s="2"/>
      <c r="S81" s="2"/>
      <c r="T81" s="2"/>
      <c r="U81" s="8"/>
      <c r="V81" s="2"/>
    </row>
    <row r="82" spans="1:22" ht="14" customHeight="1" x14ac:dyDescent="0.25">
      <c r="A82" s="39"/>
      <c r="B82" s="74"/>
      <c r="C82" s="126"/>
      <c r="D82" s="127"/>
      <c r="E82" s="128"/>
      <c r="F82" s="129"/>
      <c r="G82" s="128"/>
      <c r="H82" s="128"/>
      <c r="I82" s="128"/>
      <c r="J82" s="128"/>
      <c r="K82" s="43"/>
      <c r="L82" s="8"/>
      <c r="M82" s="2"/>
      <c r="N82" s="2"/>
      <c r="O82" s="2"/>
      <c r="P82" s="2"/>
      <c r="Q82" s="8"/>
      <c r="R82" s="2"/>
      <c r="S82" s="2"/>
      <c r="T82" s="2"/>
      <c r="U82" s="8"/>
      <c r="V82" s="2"/>
    </row>
    <row r="83" spans="1:22" ht="15" customHeight="1" x14ac:dyDescent="0.25">
      <c r="A83" s="39"/>
      <c r="B83" s="130"/>
      <c r="C83" s="130"/>
      <c r="D83" s="131" t="s">
        <v>121</v>
      </c>
      <c r="E83" s="132" cm="1">
        <f t="array" ref="E83">SUM(E14+E80)</f>
        <v>996000</v>
      </c>
      <c r="F83" s="133" cm="1">
        <f t="array" ref="F83">H83/E83</f>
        <v>0</v>
      </c>
      <c r="G83" s="132" cm="1">
        <f t="array" ref="G83">G80+G14</f>
        <v>0</v>
      </c>
      <c r="H83" s="132" cm="1">
        <f t="array" ref="H83">SUM(H14+H80)</f>
        <v>0</v>
      </c>
      <c r="I83" s="132" cm="1">
        <f t="array" ref="I83">SUM(I14+I80)</f>
        <v>996000</v>
      </c>
      <c r="J83" s="132" cm="1">
        <f t="array" ref="J83">SUM(J14+J80)</f>
        <v>0</v>
      </c>
      <c r="K83" s="43"/>
      <c r="L83" s="8"/>
      <c r="M83" s="2"/>
      <c r="N83" s="2"/>
      <c r="O83" s="2"/>
      <c r="P83" s="2"/>
      <c r="Q83" s="8"/>
      <c r="R83" s="2"/>
      <c r="S83" s="2"/>
      <c r="T83" s="2"/>
      <c r="U83" s="8"/>
      <c r="V83" s="2"/>
    </row>
    <row r="84" spans="1:22" ht="14" customHeight="1" x14ac:dyDescent="0.25">
      <c r="A84" s="2"/>
      <c r="B84" s="16"/>
      <c r="C84" s="16"/>
      <c r="D84" s="134"/>
      <c r="E84" s="135"/>
      <c r="F84" s="136"/>
      <c r="G84" s="136"/>
      <c r="H84" s="136"/>
      <c r="I84" s="33"/>
      <c r="J84" s="33"/>
      <c r="K84" s="8"/>
      <c r="L84" s="8"/>
      <c r="M84" s="2"/>
      <c r="N84" s="2"/>
      <c r="O84" s="2"/>
      <c r="P84" s="2"/>
      <c r="Q84" s="8"/>
      <c r="R84" s="2"/>
      <c r="S84" s="2"/>
      <c r="T84" s="2"/>
      <c r="U84" s="8"/>
      <c r="V84" s="2"/>
    </row>
    <row r="85" spans="1:22" ht="14" customHeight="1" x14ac:dyDescent="0.25">
      <c r="A85" s="2"/>
      <c r="B85" s="21"/>
      <c r="C85" s="21"/>
      <c r="D85" s="162" t="s">
        <v>124</v>
      </c>
      <c r="E85" s="137"/>
      <c r="F85" s="29"/>
      <c r="G85" s="29"/>
      <c r="H85" s="29"/>
      <c r="I85" s="138"/>
      <c r="J85" s="138"/>
      <c r="K85" s="8"/>
      <c r="L85" s="8"/>
      <c r="M85" s="2"/>
      <c r="N85" s="2"/>
      <c r="O85" s="2"/>
      <c r="P85" s="2"/>
      <c r="Q85" s="8"/>
      <c r="R85" s="2"/>
      <c r="S85" s="2"/>
      <c r="T85" s="2"/>
      <c r="U85" s="8"/>
      <c r="V85" s="2"/>
    </row>
    <row r="86" spans="1:22" ht="13.65" customHeight="1" x14ac:dyDescent="0.25">
      <c r="A86" s="2"/>
      <c r="B86" s="2"/>
      <c r="C86" s="2"/>
      <c r="D86" s="139"/>
      <c r="E86" s="2"/>
      <c r="F86" s="2"/>
      <c r="G86" s="2"/>
      <c r="H86" s="2"/>
      <c r="I86" s="2"/>
      <c r="J86" s="2"/>
      <c r="K86" s="8"/>
      <c r="L86" s="8"/>
      <c r="M86" s="2"/>
      <c r="N86" s="2"/>
      <c r="O86" s="2"/>
      <c r="P86" s="2"/>
      <c r="Q86" s="8"/>
      <c r="R86" s="2"/>
      <c r="S86" s="2"/>
      <c r="T86" s="2"/>
      <c r="U86" s="8"/>
      <c r="V86" s="2"/>
    </row>
    <row r="87" spans="1:22" ht="13.6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8"/>
      <c r="L87" s="8"/>
      <c r="M87" s="2"/>
      <c r="N87" s="2"/>
      <c r="O87" s="2"/>
      <c r="P87" s="2"/>
      <c r="Q87" s="8"/>
      <c r="R87" s="2"/>
      <c r="S87" s="2"/>
      <c r="T87" s="2"/>
      <c r="U87" s="8"/>
      <c r="V87" s="2"/>
    </row>
    <row r="88" spans="1:22" ht="13.65" customHeight="1" x14ac:dyDescent="0.25">
      <c r="A88" s="2"/>
      <c r="B88" s="2"/>
      <c r="C88" s="2"/>
      <c r="D88" s="139"/>
      <c r="E88" s="2"/>
      <c r="F88" s="2"/>
      <c r="G88" s="2"/>
      <c r="H88" s="2"/>
      <c r="I88" s="2"/>
      <c r="J88" s="2"/>
      <c r="K88" s="8"/>
      <c r="L88" s="8"/>
      <c r="M88" s="2"/>
      <c r="N88" s="2"/>
      <c r="O88" s="2"/>
      <c r="P88" s="2"/>
      <c r="Q88" s="8"/>
      <c r="R88" s="2"/>
      <c r="S88" s="2"/>
      <c r="T88" s="2"/>
      <c r="U88" s="8"/>
      <c r="V88" s="2"/>
    </row>
    <row r="89" spans="1:22" ht="13.65" customHeight="1" x14ac:dyDescent="0.25">
      <c r="A89" s="2"/>
      <c r="B89" s="2"/>
      <c r="C89" s="2"/>
      <c r="D89" s="2"/>
      <c r="E89" s="139"/>
      <c r="F89" s="2"/>
      <c r="G89" s="2"/>
      <c r="H89" s="2"/>
      <c r="I89" s="2"/>
      <c r="J89" s="2"/>
      <c r="K89" s="8"/>
      <c r="L89" s="8"/>
      <c r="M89" s="2"/>
      <c r="N89" s="2"/>
      <c r="O89" s="2"/>
      <c r="P89" s="2"/>
      <c r="Q89" s="8"/>
      <c r="R89" s="2"/>
      <c r="S89" s="2"/>
      <c r="T89" s="2"/>
      <c r="U89" s="8"/>
      <c r="V89" s="2"/>
    </row>
    <row r="90" spans="1:22" ht="13.6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8"/>
      <c r="L90" s="8"/>
      <c r="M90" s="2"/>
      <c r="N90" s="2"/>
      <c r="O90" s="2"/>
      <c r="P90" s="2"/>
      <c r="Q90" s="8"/>
      <c r="R90" s="2"/>
      <c r="S90" s="2"/>
      <c r="T90" s="2"/>
      <c r="U90" s="8"/>
      <c r="V90" s="2"/>
    </row>
    <row r="91" spans="1:22" ht="13.6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8"/>
      <c r="L91" s="8"/>
      <c r="M91" s="2"/>
      <c r="N91" s="2"/>
      <c r="O91" s="2"/>
      <c r="P91" s="2"/>
      <c r="Q91" s="8"/>
      <c r="R91" s="2"/>
      <c r="S91" s="2"/>
      <c r="T91" s="2"/>
      <c r="U91" s="8"/>
      <c r="V91" s="2"/>
    </row>
    <row r="92" spans="1:22" ht="13.6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8"/>
      <c r="L92" s="8"/>
      <c r="M92" s="2"/>
      <c r="N92" s="2"/>
      <c r="O92" s="2"/>
      <c r="P92" s="2"/>
      <c r="Q92" s="8"/>
      <c r="R92" s="2"/>
      <c r="S92" s="2"/>
      <c r="T92" s="2"/>
      <c r="U92" s="8"/>
      <c r="V92" s="2"/>
    </row>
    <row r="93" spans="1:22" ht="13.6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8"/>
      <c r="L93" s="8"/>
      <c r="M93" s="2"/>
      <c r="N93" s="2"/>
      <c r="O93" s="2"/>
      <c r="P93" s="2"/>
      <c r="Q93" s="8"/>
      <c r="R93" s="2"/>
      <c r="S93" s="2"/>
      <c r="T93" s="2"/>
      <c r="U93" s="8"/>
      <c r="V93" s="2"/>
    </row>
    <row r="94" spans="1:22" ht="13.6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8"/>
      <c r="L94" s="8"/>
      <c r="M94" s="2"/>
      <c r="N94" s="2"/>
      <c r="O94" s="2"/>
      <c r="P94" s="2"/>
      <c r="Q94" s="8"/>
      <c r="R94" s="2"/>
      <c r="S94" s="2"/>
      <c r="T94" s="2"/>
      <c r="U94" s="8"/>
      <c r="V94" s="2"/>
    </row>
    <row r="95" spans="1:22" ht="13.6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8"/>
      <c r="L95" s="8"/>
      <c r="M95" s="2"/>
      <c r="N95" s="2"/>
      <c r="O95" s="2"/>
      <c r="P95" s="2"/>
      <c r="Q95" s="8"/>
      <c r="R95" s="2"/>
      <c r="S95" s="2"/>
      <c r="T95" s="2"/>
      <c r="U95" s="8"/>
      <c r="V95" s="2"/>
    </row>
    <row r="96" spans="1:22" ht="13.6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8"/>
      <c r="L96" s="8"/>
      <c r="M96" s="2"/>
      <c r="N96" s="2"/>
      <c r="O96" s="2"/>
      <c r="P96" s="2"/>
      <c r="Q96" s="8"/>
      <c r="R96" s="2"/>
      <c r="S96" s="2"/>
      <c r="T96" s="2"/>
      <c r="U96" s="8"/>
      <c r="V96" s="2"/>
    </row>
    <row r="97" spans="1:22" ht="13.6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8"/>
      <c r="L97" s="8"/>
      <c r="M97" s="2"/>
      <c r="N97" s="2"/>
      <c r="O97" s="2"/>
      <c r="P97" s="2"/>
      <c r="Q97" s="8"/>
      <c r="R97" s="2"/>
      <c r="S97" s="2"/>
      <c r="T97" s="2"/>
      <c r="U97" s="8"/>
      <c r="V97" s="2"/>
    </row>
    <row r="98" spans="1:22" ht="13.6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8"/>
      <c r="L98" s="8"/>
      <c r="M98" s="2"/>
      <c r="N98" s="2"/>
      <c r="O98" s="2"/>
      <c r="P98" s="2"/>
      <c r="Q98" s="8"/>
      <c r="R98" s="2"/>
      <c r="S98" s="2"/>
      <c r="T98" s="2"/>
      <c r="U98" s="8"/>
      <c r="V98" s="2"/>
    </row>
    <row r="99" spans="1:22" ht="13.6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8"/>
      <c r="L99" s="8"/>
      <c r="M99" s="2"/>
      <c r="N99" s="2"/>
      <c r="O99" s="2"/>
      <c r="P99" s="2"/>
      <c r="Q99" s="8"/>
      <c r="R99" s="2"/>
      <c r="S99" s="2"/>
      <c r="T99" s="2"/>
      <c r="U99" s="8"/>
      <c r="V99" s="2"/>
    </row>
    <row r="100" spans="1:22" ht="13.6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8"/>
      <c r="L100" s="8"/>
      <c r="M100" s="2"/>
      <c r="N100" s="2"/>
      <c r="O100" s="2"/>
      <c r="P100" s="2"/>
      <c r="Q100" s="8"/>
      <c r="R100" s="2"/>
      <c r="S100" s="2"/>
      <c r="T100" s="2"/>
      <c r="U100" s="8"/>
      <c r="V100" s="2"/>
    </row>
    <row r="101" spans="1:22" ht="13.6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8"/>
      <c r="L101" s="8"/>
      <c r="M101" s="2"/>
      <c r="N101" s="2"/>
      <c r="O101" s="2"/>
      <c r="P101" s="2"/>
      <c r="Q101" s="8"/>
      <c r="R101" s="2"/>
      <c r="S101" s="2"/>
      <c r="T101" s="2"/>
      <c r="U101" s="8"/>
      <c r="V101" s="2"/>
    </row>
    <row r="102" spans="1:22" ht="13.6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8"/>
      <c r="L102" s="8"/>
      <c r="M102" s="2"/>
      <c r="N102" s="2"/>
      <c r="O102" s="2"/>
      <c r="P102" s="2"/>
      <c r="Q102" s="8"/>
      <c r="R102" s="2"/>
      <c r="S102" s="2"/>
      <c r="T102" s="2"/>
      <c r="U102" s="8"/>
      <c r="V102" s="2"/>
    </row>
    <row r="103" spans="1:22" ht="13.6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8"/>
      <c r="L103" s="8"/>
      <c r="M103" s="2"/>
      <c r="N103" s="2"/>
      <c r="O103" s="2"/>
      <c r="P103" s="2"/>
      <c r="Q103" s="8"/>
      <c r="R103" s="2"/>
      <c r="S103" s="2"/>
      <c r="T103" s="2"/>
      <c r="U103" s="8"/>
      <c r="V103" s="2"/>
    </row>
    <row r="104" spans="1:22" ht="13.6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8"/>
      <c r="L104" s="8"/>
      <c r="M104" s="2"/>
      <c r="N104" s="2"/>
      <c r="O104" s="2"/>
      <c r="P104" s="2"/>
      <c r="Q104" s="8"/>
      <c r="R104" s="2"/>
      <c r="S104" s="2"/>
      <c r="T104" s="2"/>
      <c r="U104" s="8"/>
      <c r="V104" s="2"/>
    </row>
    <row r="105" spans="1:22" ht="13.6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8"/>
      <c r="L105" s="8"/>
      <c r="M105" s="2"/>
      <c r="N105" s="2"/>
      <c r="O105" s="2"/>
      <c r="P105" s="2"/>
      <c r="Q105" s="8"/>
      <c r="R105" s="2"/>
      <c r="S105" s="2"/>
      <c r="T105" s="2"/>
      <c r="U105" s="8"/>
      <c r="V105" s="2"/>
    </row>
    <row r="106" spans="1:22" ht="13.6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8"/>
      <c r="L106" s="8"/>
      <c r="M106" s="2"/>
      <c r="N106" s="2"/>
      <c r="O106" s="2"/>
      <c r="P106" s="2"/>
      <c r="Q106" s="8"/>
      <c r="R106" s="2"/>
      <c r="S106" s="2"/>
      <c r="T106" s="2"/>
      <c r="U106" s="8"/>
      <c r="V106" s="2"/>
    </row>
    <row r="107" spans="1:22" ht="13.6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8"/>
      <c r="L107" s="8"/>
      <c r="M107" s="2"/>
      <c r="N107" s="2"/>
      <c r="O107" s="2"/>
      <c r="P107" s="2"/>
      <c r="Q107" s="8"/>
      <c r="R107" s="2"/>
      <c r="S107" s="2"/>
      <c r="T107" s="2"/>
      <c r="U107" s="8"/>
      <c r="V107" s="2"/>
    </row>
    <row r="108" spans="1:22" ht="13.6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8"/>
      <c r="L108" s="8"/>
      <c r="M108" s="2"/>
      <c r="N108" s="2"/>
      <c r="O108" s="2"/>
      <c r="P108" s="2"/>
      <c r="Q108" s="8"/>
      <c r="R108" s="2"/>
      <c r="S108" s="2"/>
      <c r="T108" s="2"/>
      <c r="U108" s="8"/>
      <c r="V108" s="2"/>
    </row>
    <row r="109" spans="1:22" ht="13.6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8"/>
      <c r="L109" s="8"/>
      <c r="M109" s="2"/>
      <c r="N109" s="2"/>
      <c r="O109" s="2"/>
      <c r="P109" s="2"/>
      <c r="Q109" s="8"/>
      <c r="R109" s="2"/>
      <c r="S109" s="2"/>
      <c r="T109" s="2"/>
      <c r="U109" s="8"/>
      <c r="V109" s="2"/>
    </row>
    <row r="110" spans="1:22" ht="13.6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8"/>
      <c r="L110" s="8"/>
      <c r="M110" s="2"/>
      <c r="N110" s="2"/>
      <c r="O110" s="2"/>
      <c r="P110" s="2"/>
      <c r="Q110" s="8"/>
      <c r="R110" s="2"/>
      <c r="S110" s="2"/>
      <c r="T110" s="2"/>
      <c r="U110" s="8"/>
      <c r="V110" s="2"/>
    </row>
    <row r="111" spans="1:22" ht="13.6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8"/>
      <c r="L111" s="8"/>
      <c r="M111" s="2"/>
      <c r="N111" s="2"/>
      <c r="O111" s="2"/>
      <c r="P111" s="2"/>
      <c r="Q111" s="8"/>
      <c r="R111" s="2"/>
      <c r="S111" s="2"/>
      <c r="T111" s="2"/>
      <c r="U111" s="8"/>
      <c r="V111" s="2"/>
    </row>
    <row r="112" spans="1:22" ht="13.6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8"/>
      <c r="L112" s="8"/>
      <c r="M112" s="2"/>
      <c r="N112" s="2"/>
      <c r="O112" s="2"/>
      <c r="P112" s="2"/>
      <c r="Q112" s="8"/>
      <c r="R112" s="2"/>
      <c r="S112" s="2"/>
      <c r="T112" s="2"/>
      <c r="U112" s="8"/>
      <c r="V112" s="2"/>
    </row>
    <row r="113" spans="1:22" ht="13.6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8"/>
      <c r="L113" s="8"/>
      <c r="M113" s="2"/>
      <c r="N113" s="2"/>
      <c r="O113" s="2"/>
      <c r="P113" s="2"/>
      <c r="Q113" s="8"/>
      <c r="R113" s="2"/>
      <c r="S113" s="2"/>
      <c r="T113" s="2"/>
      <c r="U113" s="8"/>
      <c r="V113" s="2"/>
    </row>
    <row r="114" spans="1:22" ht="13.6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8"/>
      <c r="L114" s="8"/>
      <c r="M114" s="2"/>
      <c r="N114" s="2"/>
      <c r="O114" s="2"/>
      <c r="P114" s="2"/>
      <c r="Q114" s="8"/>
      <c r="R114" s="2"/>
      <c r="S114" s="2"/>
      <c r="T114" s="2"/>
      <c r="U114" s="8"/>
      <c r="V114" s="2"/>
    </row>
    <row r="115" spans="1:22" ht="13.6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8"/>
      <c r="L115" s="8"/>
      <c r="M115" s="2"/>
      <c r="N115" s="2"/>
      <c r="O115" s="2"/>
      <c r="P115" s="2"/>
      <c r="Q115" s="8"/>
      <c r="R115" s="2"/>
      <c r="S115" s="2"/>
      <c r="T115" s="2"/>
      <c r="U115" s="8"/>
      <c r="V115" s="2"/>
    </row>
    <row r="116" spans="1:22" ht="13.6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8"/>
      <c r="L116" s="8"/>
      <c r="M116" s="2"/>
      <c r="N116" s="2"/>
      <c r="O116" s="2"/>
      <c r="P116" s="2"/>
      <c r="Q116" s="8"/>
      <c r="R116" s="2"/>
      <c r="S116" s="2"/>
      <c r="T116" s="2"/>
      <c r="U116" s="8"/>
      <c r="V116" s="2"/>
    </row>
    <row r="117" spans="1:22" ht="13.6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8"/>
      <c r="L117" s="8"/>
      <c r="M117" s="2"/>
      <c r="N117" s="2"/>
      <c r="O117" s="2"/>
      <c r="P117" s="2"/>
      <c r="Q117" s="8"/>
      <c r="R117" s="2"/>
      <c r="S117" s="2"/>
      <c r="T117" s="2"/>
      <c r="U117" s="8"/>
      <c r="V117" s="2"/>
    </row>
    <row r="118" spans="1:22" ht="13.6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8"/>
      <c r="L118" s="8"/>
      <c r="M118" s="2"/>
      <c r="N118" s="2"/>
      <c r="O118" s="2"/>
      <c r="P118" s="2"/>
      <c r="Q118" s="8"/>
      <c r="R118" s="2"/>
      <c r="S118" s="2"/>
      <c r="T118" s="2"/>
      <c r="U118" s="8"/>
      <c r="V118" s="2"/>
    </row>
    <row r="119" spans="1:22" ht="13.6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8"/>
      <c r="L119" s="8"/>
      <c r="M119" s="2"/>
      <c r="N119" s="2"/>
      <c r="O119" s="2"/>
      <c r="P119" s="2"/>
      <c r="Q119" s="8"/>
      <c r="R119" s="2"/>
      <c r="S119" s="2"/>
      <c r="T119" s="2"/>
      <c r="U119" s="8"/>
      <c r="V119" s="2"/>
    </row>
    <row r="120" spans="1:22" ht="13.6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8"/>
      <c r="L120" s="8"/>
      <c r="M120" s="2"/>
      <c r="N120" s="2"/>
      <c r="O120" s="2"/>
      <c r="P120" s="2"/>
      <c r="Q120" s="8"/>
      <c r="R120" s="2"/>
      <c r="S120" s="2"/>
      <c r="T120" s="2"/>
      <c r="U120" s="8"/>
      <c r="V120" s="2"/>
    </row>
    <row r="121" spans="1:22" ht="13.6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8"/>
      <c r="L121" s="8"/>
      <c r="M121" s="2"/>
      <c r="N121" s="2"/>
      <c r="O121" s="2"/>
      <c r="P121" s="2"/>
      <c r="Q121" s="8"/>
      <c r="R121" s="2"/>
      <c r="S121" s="2"/>
      <c r="T121" s="2"/>
      <c r="U121" s="8"/>
      <c r="V121" s="2"/>
    </row>
    <row r="122" spans="1:22" ht="13.65" customHeight="1" x14ac:dyDescent="0.25">
      <c r="A122" s="2"/>
      <c r="B122" s="140">
        <v>11250</v>
      </c>
      <c r="C122" s="2"/>
      <c r="D122" s="2"/>
      <c r="E122" s="2"/>
      <c r="F122" s="2"/>
      <c r="G122" s="2"/>
      <c r="H122" s="2"/>
      <c r="I122" s="2"/>
      <c r="J122" s="2"/>
      <c r="K122" s="8"/>
      <c r="L122" s="8"/>
      <c r="M122" s="2"/>
      <c r="N122" s="2"/>
      <c r="O122" s="2"/>
      <c r="P122" s="2"/>
      <c r="Q122" s="8"/>
      <c r="R122" s="2"/>
      <c r="S122" s="2"/>
      <c r="T122" s="2"/>
      <c r="U122" s="8"/>
      <c r="V122" s="2"/>
    </row>
    <row r="123" spans="1:22" ht="13.65" customHeight="1" x14ac:dyDescent="0.25">
      <c r="A123" s="2"/>
      <c r="B123" s="141" t="s">
        <v>122</v>
      </c>
      <c r="C123" s="2"/>
      <c r="D123" s="2"/>
      <c r="E123" s="2"/>
      <c r="F123" s="2"/>
      <c r="G123" s="2"/>
      <c r="H123" s="2"/>
      <c r="I123" s="2"/>
      <c r="J123" s="2"/>
      <c r="K123" s="8"/>
      <c r="L123" s="8"/>
      <c r="M123" s="2"/>
      <c r="N123" s="2"/>
      <c r="O123" s="2"/>
      <c r="P123" s="2"/>
      <c r="Q123" s="8"/>
      <c r="R123" s="2"/>
      <c r="S123" s="2"/>
      <c r="T123" s="2"/>
      <c r="U123" s="8"/>
      <c r="V123" s="2"/>
    </row>
    <row r="124" spans="1:22" ht="13.65" customHeight="1" x14ac:dyDescent="0.25">
      <c r="A124" s="2"/>
      <c r="B124" s="140">
        <v>450000</v>
      </c>
      <c r="C124" s="2"/>
      <c r="D124" s="2"/>
      <c r="E124" s="2"/>
      <c r="F124" s="2"/>
      <c r="G124" s="2"/>
      <c r="H124" s="2"/>
      <c r="I124" s="2"/>
      <c r="J124" s="2"/>
      <c r="K124" s="8"/>
      <c r="L124" s="8"/>
      <c r="M124" s="2"/>
      <c r="N124" s="2"/>
      <c r="O124" s="2"/>
      <c r="P124" s="2"/>
      <c r="Q124" s="8"/>
      <c r="R124" s="2"/>
      <c r="S124" s="2"/>
      <c r="T124" s="2"/>
      <c r="U124" s="8"/>
      <c r="V124" s="2"/>
    </row>
    <row r="125" spans="1:22" ht="13.65" customHeight="1" x14ac:dyDescent="0.25">
      <c r="A125" s="2"/>
      <c r="B125" s="142" t="s">
        <v>123</v>
      </c>
      <c r="C125" s="143"/>
      <c r="D125" s="142" t="s">
        <v>54</v>
      </c>
      <c r="E125" s="2"/>
      <c r="F125" s="2"/>
      <c r="G125" s="2"/>
      <c r="H125" s="2"/>
      <c r="I125" s="2"/>
      <c r="J125" s="2"/>
      <c r="K125" s="8"/>
      <c r="L125" s="8"/>
      <c r="M125" s="2"/>
      <c r="N125" s="2"/>
      <c r="O125" s="2"/>
      <c r="P125" s="2"/>
      <c r="Q125" s="8"/>
      <c r="R125" s="2"/>
      <c r="S125" s="2"/>
      <c r="T125" s="2"/>
      <c r="U125" s="8"/>
      <c r="V125" s="2"/>
    </row>
    <row r="126" spans="1:22" ht="13.65" customHeight="1" x14ac:dyDescent="0.25">
      <c r="A126" s="2"/>
      <c r="B126" s="144" cm="1">
        <f t="array" ref="B126">B124*81%</f>
        <v>364500</v>
      </c>
      <c r="C126" s="143"/>
      <c r="D126" s="144" cm="1">
        <f t="array" ref="D126">B124*15%</f>
        <v>67500</v>
      </c>
      <c r="E126" s="2"/>
      <c r="F126" s="2"/>
      <c r="G126" s="2"/>
      <c r="H126" s="2"/>
      <c r="I126" s="2"/>
      <c r="J126" s="2"/>
      <c r="K126" s="8"/>
      <c r="L126" s="8"/>
      <c r="M126" s="2"/>
      <c r="N126" s="2"/>
      <c r="O126" s="2"/>
      <c r="P126" s="2"/>
      <c r="Q126" s="8"/>
      <c r="R126" s="2"/>
      <c r="S126" s="2"/>
      <c r="T126" s="2"/>
      <c r="U126" s="8"/>
      <c r="V126" s="2"/>
    </row>
    <row r="127" spans="1:22" ht="13.6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8"/>
      <c r="L127" s="8"/>
      <c r="M127" s="2"/>
      <c r="N127" s="2"/>
      <c r="O127" s="2"/>
      <c r="P127" s="2"/>
      <c r="Q127" s="8"/>
      <c r="R127" s="2"/>
      <c r="S127" s="2"/>
      <c r="T127" s="2"/>
      <c r="U127" s="8"/>
      <c r="V127" s="2"/>
    </row>
    <row r="128" spans="1:22" ht="13.6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8"/>
      <c r="L128" s="8"/>
      <c r="M128" s="2"/>
      <c r="N128" s="2"/>
      <c r="O128" s="2"/>
      <c r="P128" s="2"/>
      <c r="Q128" s="8"/>
      <c r="R128" s="2"/>
      <c r="S128" s="2"/>
      <c r="T128" s="2"/>
      <c r="U128" s="8"/>
      <c r="V128" s="2"/>
    </row>
    <row r="129" spans="1:22" ht="13.6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8"/>
      <c r="L129" s="8"/>
      <c r="M129" s="2"/>
      <c r="N129" s="2"/>
      <c r="O129" s="2"/>
      <c r="P129" s="2"/>
      <c r="Q129" s="8"/>
      <c r="R129" s="2"/>
      <c r="S129" s="2"/>
      <c r="T129" s="2"/>
      <c r="U129" s="8"/>
      <c r="V129" s="2"/>
    </row>
    <row r="130" spans="1:22" ht="13.6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8"/>
      <c r="L130" s="8"/>
      <c r="M130" s="2"/>
      <c r="N130" s="2"/>
      <c r="O130" s="2"/>
      <c r="P130" s="2"/>
      <c r="Q130" s="8"/>
      <c r="R130" s="2"/>
      <c r="S130" s="2"/>
      <c r="T130" s="2"/>
      <c r="U130" s="8"/>
      <c r="V130" s="2"/>
    </row>
    <row r="131" spans="1:22" ht="13.65" customHeight="1" x14ac:dyDescent="0.25">
      <c r="A131" s="2"/>
      <c r="B131" s="2"/>
      <c r="C131" s="2"/>
      <c r="D131" s="140" cm="1">
        <f t="array" ref="D131">100-15-3.82513625</f>
        <v>81.17486375</v>
      </c>
      <c r="E131" s="2"/>
      <c r="F131" s="2"/>
      <c r="G131" s="2"/>
      <c r="H131" s="2"/>
      <c r="I131" s="2"/>
      <c r="J131" s="2"/>
      <c r="K131" s="8"/>
      <c r="L131" s="8"/>
      <c r="M131" s="2"/>
      <c r="N131" s="2"/>
      <c r="O131" s="2"/>
      <c r="P131" s="2"/>
      <c r="Q131" s="8"/>
      <c r="R131" s="2"/>
      <c r="S131" s="2"/>
      <c r="T131" s="2"/>
      <c r="U131" s="8"/>
      <c r="V131" s="2"/>
    </row>
    <row r="132" spans="1:22" ht="13.65" customHeight="1" x14ac:dyDescent="0.25">
      <c r="A132" s="2"/>
      <c r="B132" s="2"/>
      <c r="C132" s="2"/>
      <c r="D132" s="140">
        <v>81.17486375</v>
      </c>
      <c r="E132" s="2"/>
      <c r="F132" s="2"/>
      <c r="G132" s="2"/>
      <c r="H132" s="2"/>
      <c r="I132" s="2"/>
      <c r="J132" s="2"/>
      <c r="K132" s="8"/>
      <c r="L132" s="8"/>
      <c r="M132" s="2"/>
      <c r="N132" s="2"/>
      <c r="O132" s="2"/>
      <c r="P132" s="2"/>
      <c r="Q132" s="8"/>
      <c r="R132" s="2"/>
      <c r="S132" s="2"/>
      <c r="T132" s="2"/>
      <c r="U132" s="8"/>
      <c r="V132" s="2"/>
    </row>
  </sheetData>
  <mergeCells count="8">
    <mergeCell ref="I3:J4"/>
    <mergeCell ref="L32:M32"/>
    <mergeCell ref="L14:N15"/>
    <mergeCell ref="U33:V33"/>
    <mergeCell ref="M3:O3"/>
    <mergeCell ref="M4:O4"/>
    <mergeCell ref="M5:O5"/>
    <mergeCell ref="P5:Q5"/>
  </mergeCells>
  <pageMargins left="0.25" right="0.25" top="0.75" bottom="0.75" header="0.3" footer="0.3"/>
  <pageSetup orientation="landscape"/>
  <headerFooter>
    <oddFooter>&amp;C&amp;"Helvetica Neue,Regular"&amp;12&amp;K000000&amp;P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Ligas</cp:lastModifiedBy>
  <dcterms:modified xsi:type="dcterms:W3CDTF">2026-07-24T19:35:15Z</dcterms:modified>
</cp:coreProperties>
</file>